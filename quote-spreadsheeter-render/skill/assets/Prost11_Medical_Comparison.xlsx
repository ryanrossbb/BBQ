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in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20">
    <font>
      <name val="Arial"/>
      <color rgb="FF000000"/>
      <sz val="10"/>
      <scheme val="minor"/>
    </font>
    <font>
      <name val="Calibri"/>
      <b val="1"/>
      <color rgb="FFFFFFFF"/>
      <sz val="26"/>
    </font>
    <font/>
    <font>
      <name val="Calibri"/>
      <color theme="1"/>
      <sz val="11"/>
    </font>
    <font>
      <name val="Calibri"/>
      <color rgb="FF1F4E78"/>
      <sz val="15"/>
    </font>
    <font>
      <name val="Calibri"/>
      <i val="1"/>
      <color rgb="FF666666"/>
      <sz val="9"/>
    </font>
    <font>
      <name val="Calibri"/>
      <color rgb="FF666666"/>
      <sz val="9"/>
    </font>
    <font>
      <name val="Calibri"/>
      <b val="1"/>
      <color rgb="FF1F4E78"/>
      <sz val="16"/>
    </font>
    <font>
      <name val="Calibri"/>
      <b val="1"/>
      <color rgb="FFFFFFFF"/>
      <sz val="22"/>
    </font>
    <font>
      <name val="Calibri"/>
      <b val="1"/>
      <color rgb="FFFFFFFF"/>
      <sz val="10"/>
    </font>
    <font>
      <name val="Calibri"/>
      <b val="1"/>
      <color rgb="FFD9E1F2"/>
      <sz val="10"/>
    </font>
    <font>
      <name val="Calibri"/>
      <color rgb="FF1F4E78"/>
      <sz val="10"/>
    </font>
    <font>
      <name val="Calibri"/>
      <color theme="1"/>
      <sz val="10"/>
    </font>
    <font>
      <name val="Calibri"/>
      <b val="1"/>
      <color rgb="FF1F4E78"/>
      <sz val="10"/>
    </font>
    <font>
      <name val="Calibri"/>
      <b val="1"/>
      <color theme="1"/>
      <sz val="10"/>
    </font>
    <font>
      <name val="Calibri"/>
      <i val="1"/>
      <color rgb="FF444444"/>
      <sz val="9"/>
    </font>
    <font>
      <name val="Calibri"/>
      <color rgb="FF1F4E78"/>
      <sz val="16"/>
    </font>
    <font>
      <name val="Calibri"/>
      <i val="1"/>
      <color rgb="FF888888"/>
      <sz val="9"/>
    </font>
    <font>
      <name val="Calibri"/>
      <color rgb="FF888888"/>
      <sz val="9"/>
    </font>
    <font>
      <name val="Arial"/>
      <color rgb="FF000000"/>
      <sz val="10"/>
    </font>
  </fonts>
  <fills count="13">
    <fill>
      <patternFill/>
    </fill>
    <fill>
      <patternFill patternType="lightGray"/>
    </fill>
    <fill>
      <patternFill patternType="solid">
        <fgColor rgb="FF0B1F3F"/>
        <bgColor rgb="FF0B1F3F"/>
      </patternFill>
    </fill>
    <fill>
      <patternFill patternType="solid">
        <fgColor rgb="FFD9E1F2"/>
        <bgColor rgb="FFD9E1F2"/>
      </patternFill>
    </fill>
    <fill>
      <patternFill patternType="solid">
        <fgColor rgb="FFF0F4FA"/>
        <bgColor rgb="FFF0F4FA"/>
      </patternFill>
    </fill>
    <fill>
      <patternFill patternType="solid">
        <fgColor rgb="FF76A5AF"/>
        <bgColor rgb="FF76A5AF"/>
      </patternFill>
    </fill>
    <fill>
      <patternFill patternType="solid">
        <fgColor rgb="FF0077B6"/>
        <bgColor rgb="FF0077B6"/>
      </patternFill>
    </fill>
    <fill>
      <patternFill patternType="solid">
        <fgColor rgb="FF023E8A"/>
        <bgColor rgb="FF023E8A"/>
      </patternFill>
    </fill>
    <fill>
      <patternFill patternType="solid">
        <fgColor rgb="FF0096C7"/>
        <bgColor rgb="FF0096C7"/>
      </patternFill>
    </fill>
    <fill>
      <patternFill patternType="solid">
        <fgColor rgb="FFF7F9FC"/>
        <bgColor rgb="FFF7F9FC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8F0FC"/>
        <bgColor rgb="FFE8F0FC"/>
      </patternFill>
    </fill>
  </fills>
  <borders count="14">
    <border/>
    <border>
      <left/>
      <top/>
      <bottom/>
    </border>
    <border>
      <top/>
      <bottom/>
    </border>
    <border>
      <left/>
      <top style="thin">
        <color rgb="FFB8C8E0"/>
      </top>
      <bottom style="medium">
        <color rgb="FF0B1F3F"/>
      </bottom>
    </border>
    <border>
      <top style="thin">
        <color rgb="FFB8C8E0"/>
      </top>
      <bottom style="medium">
        <color rgb="FF0B1F3F"/>
      </bottom>
    </border>
    <border>
      <left style="medium">
        <color rgb="FFFFFFFF"/>
      </left>
      <top/>
      <bottom style="medium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bottom style="medium">
        <color rgb="FFFFFFFF"/>
      </bottom>
    </border>
    <border>
      <left style="thin">
        <color rgb="FF2D5F8A"/>
      </left>
      <right/>
      <top/>
      <bottom/>
    </border>
    <border>
      <left style="thin">
        <color rgb="FFB8C8E0"/>
      </left>
      <right style="thin">
        <color rgb="FFB8C8E0"/>
      </right>
      <top style="thin">
        <color rgb="FFB8C8E0"/>
      </top>
      <bottom style="thin">
        <color rgb="FFB8C8E0"/>
      </bottom>
    </border>
    <border>
      <left style="thin">
        <color rgb="FFB8C8E0"/>
      </left>
      <right style="thin">
        <color rgb="FFB8C8E0"/>
      </right>
      <bottom style="thin">
        <color rgb="FFB8C8E0"/>
      </bottom>
    </border>
    <border>
      <left style="thin">
        <color rgb="FFB8C8E0"/>
      </left>
      <top style="thin">
        <color rgb="FFB8C8E0"/>
      </top>
      <bottom style="thin">
        <color rgb="FFB8C8E0"/>
      </bottom>
    </border>
    <border>
      <top style="thin">
        <color rgb="FFB8C8E0"/>
      </top>
      <bottom style="thin">
        <color rgb="FFB8C8E0"/>
      </bottom>
    </border>
    <border>
      <top style="thin">
        <color rgb="FFB8C8E0"/>
      </top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3" fillId="0" borderId="0" applyAlignment="1" pivotButton="0" quotePrefix="0" xfId="0">
      <alignment vertical="bottom"/>
    </xf>
    <xf numFmtId="0" fontId="4" fillId="3" borderId="3" applyAlignment="1" pivotButton="0" quotePrefix="0" xfId="0">
      <alignment horizontal="left" vertical="center"/>
    </xf>
    <xf numFmtId="0" fontId="2" fillId="0" borderId="4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bottom"/>
    </xf>
    <xf numFmtId="0" fontId="8" fillId="5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/>
    </xf>
    <xf numFmtId="0" fontId="3" fillId="9" borderId="6" applyAlignment="1" pivotButton="0" quotePrefix="0" xfId="0">
      <alignment vertical="bottom"/>
    </xf>
    <xf numFmtId="0" fontId="9" fillId="5" borderId="7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/>
    </xf>
    <xf numFmtId="0" fontId="9" fillId="7" borderId="7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3" fillId="10" borderId="0" applyAlignment="1" pivotButton="0" quotePrefix="0" xfId="0">
      <alignment vertical="bottom"/>
    </xf>
    <xf numFmtId="0" fontId="3" fillId="10" borderId="8" applyAlignment="1" pivotButton="0" quotePrefix="0" xfId="0">
      <alignment vertical="bottom"/>
    </xf>
    <xf numFmtId="0" fontId="11" fillId="11" borderId="1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 wrapText="1"/>
    </xf>
    <xf numFmtId="0" fontId="12" fillId="11" borderId="9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/>
    </xf>
    <xf numFmtId="0" fontId="13" fillId="11" borderId="6" applyAlignment="1" pivotButton="0" quotePrefix="0" xfId="0">
      <alignment horizontal="left" vertical="center"/>
    </xf>
    <xf numFmtId="0" fontId="14" fillId="11" borderId="10" applyAlignment="1" pivotButton="0" quotePrefix="0" xfId="0">
      <alignment horizontal="center" vertical="center"/>
    </xf>
    <xf numFmtId="164" fontId="14" fillId="11" borderId="0" applyAlignment="1" pivotButton="0" quotePrefix="0" xfId="0">
      <alignment horizontal="center" vertical="center"/>
    </xf>
    <xf numFmtId="164" fontId="14" fillId="11" borderId="9" applyAlignment="1" pivotButton="0" quotePrefix="0" xfId="0">
      <alignment horizontal="center" vertical="center"/>
    </xf>
    <xf numFmtId="0" fontId="13" fillId="12" borderId="6" applyAlignment="1" pivotButton="0" quotePrefix="0" xfId="0">
      <alignment horizontal="left" vertical="center"/>
    </xf>
    <xf numFmtId="0" fontId="14" fillId="11" borderId="9" applyAlignment="1" pivotButton="0" quotePrefix="0" xfId="0">
      <alignment horizontal="center" vertical="center"/>
    </xf>
    <xf numFmtId="164" fontId="14" fillId="12" borderId="0" applyAlignment="1" pivotButton="0" quotePrefix="0" xfId="0">
      <alignment horizontal="center" vertical="center"/>
    </xf>
    <xf numFmtId="164" fontId="14" fillId="12" borderId="9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5" fillId="4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16" fillId="3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164" fontId="12" fillId="12" borderId="9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64" fontId="12" fillId="11" borderId="9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64" fontId="12" fillId="11" borderId="0" applyAlignment="1" pivotButton="0" quotePrefix="0" xfId="0">
      <alignment horizontal="center" vertical="center"/>
    </xf>
    <xf numFmtId="164" fontId="12" fillId="12" borderId="0" applyAlignment="1" pivotButton="0" quotePrefix="0" xfId="0">
      <alignment horizontal="center" vertical="center"/>
    </xf>
    <xf numFmtId="10" fontId="12" fillId="1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0" fontId="12" fillId="12" borderId="11" applyAlignment="1" pivotButton="0" quotePrefix="0" xfId="0">
      <alignment horizontal="center" vertical="center"/>
    </xf>
    <xf numFmtId="0" fontId="19" fillId="0" borderId="0" pivotButton="0" quotePrefix="0" xfId="0"/>
    <xf numFmtId="0" fontId="0" fillId="0" borderId="0" pivotButton="0" quotePrefix="0" xfId="0"/>
    <xf numFmtId="0" fontId="0" fillId="0" borderId="4" pivotButton="0" quotePrefix="0" xfId="0"/>
    <xf numFmtId="0" fontId="2" fillId="0" borderId="0" pivotButton="0" quotePrefix="0" xfId="0"/>
    <xf numFmtId="0" fontId="12" fillId="11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99"/>
  <sheetViews>
    <sheetView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F11" sqref="F11"/>
    </sheetView>
  </sheetViews>
  <sheetFormatPr baseColWidth="8" defaultColWidth="12.63" defaultRowHeight="15" customHeight="1"/>
  <cols>
    <col width="1.75" customWidth="1" style="55" min="1" max="2"/>
    <col width="29.75" customWidth="1" style="55" min="3" max="3"/>
    <col width="6.13" customWidth="1" style="55" min="4" max="4"/>
    <col width="0.75" customWidth="1" style="55" min="5" max="5"/>
    <col width="16.63" customWidth="1" style="55" min="6" max="11"/>
    <col width="16.63" customWidth="1" style="55" min="7" max="7"/>
    <col width="16.63" customWidth="1" style="55" min="8" max="8"/>
    <col width="16.63" customWidth="1" style="55" min="9" max="9"/>
  </cols>
  <sheetData>
    <row r="1" ht="39.75" customHeight="1" s="55">
      <c r="A1" s="1" t="inlineStr">
        <is>
          <t>BrokersBloc</t>
        </is>
      </c>
    </row>
    <row r="2" ht="3.75" customHeight="1" s="55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1.75" customHeight="1" s="55">
      <c r="A3" s="3" t="n"/>
      <c r="B3" s="3" t="n"/>
      <c r="C3" s="4" t="inlineStr">
        <is>
          <t>Group Name</t>
        </is>
      </c>
      <c r="D3" s="56" t="n"/>
      <c r="E3" s="56" t="n"/>
      <c r="F3" s="56" t="n"/>
      <c r="G3" s="56" t="n"/>
      <c r="H3" s="56" t="n"/>
      <c r="I3" s="56" t="n"/>
      <c r="J3" s="56" t="n"/>
      <c r="K3" s="56" t="n"/>
    </row>
    <row r="4" ht="3.75" customHeight="1" s="55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19.5" customHeight="1" s="55">
      <c r="A5" s="3" t="n"/>
      <c r="B5" s="3" t="n"/>
      <c r="C5" s="6" t="inlineStr">
        <is>
          <t>Prepared by: BrokersBloc | brokersbloc.com</t>
        </is>
      </c>
      <c r="H5" s="7" t="n"/>
    </row>
    <row r="6" ht="3.75" customHeight="1" s="55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9.5" customHeight="1" s="55">
      <c r="A7" s="3" t="n"/>
      <c r="B7" s="3" t="n"/>
      <c r="C7" s="8" t="inlineStr">
        <is>
          <t>Medical</t>
        </is>
      </c>
    </row>
    <row r="8" ht="6" customHeight="1" s="55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26.25" customHeight="1" s="55">
      <c r="A9" s="3" t="n"/>
      <c r="B9" s="3" t="n"/>
      <c r="C9" s="9" t="n"/>
      <c r="E9" s="3" t="n"/>
      <c r="F9" s="10" t="inlineStr">
        <is>
          <t>CURRENT</t>
        </is>
      </c>
      <c r="G9" s="10" t="inlineStr">
        <is>
          <t>Gravie</t>
        </is>
      </c>
      <c r="H9" s="10" t="inlineStr">
        <is>
          <t>Level Health</t>
        </is>
      </c>
      <c r="I9" s="10" t="inlineStr">
        <is>
          <t>Arlo</t>
        </is>
      </c>
      <c r="J9" s="57" t="n"/>
      <c r="K9" s="57" t="n"/>
    </row>
    <row r="10" ht="19.5" customHeight="1" s="55">
      <c r="A10" s="3" t="n"/>
      <c r="B10" s="3" t="n"/>
      <c r="C10" s="14" t="n"/>
      <c r="D10" s="3" t="n"/>
      <c r="E10" s="3" t="n"/>
      <c r="F10" s="15" t="inlineStr">
        <is>
          <t>EHI6 PROformance</t>
        </is>
      </c>
      <c r="G10" s="15" t="inlineStr">
        <is>
          <t>Gravie Copay $5,000 Ded/$7,900 OOPM</t>
        </is>
      </c>
      <c r="H10" s="15" t="inlineStr">
        <is>
          <t>Gold 5000</t>
        </is>
      </c>
      <c r="I10" s="15" t="inlineStr">
        <is>
          <t>Silver 5000</t>
        </is>
      </c>
      <c r="J10" s="57" t="n"/>
      <c r="K10" s="57" t="n"/>
    </row>
    <row r="11" ht="15.75" customHeight="1" s="55">
      <c r="A11" s="3" t="n"/>
      <c r="B11" s="3" t="n"/>
      <c r="C11" s="19" t="inlineStr">
        <is>
          <t>In-Network Benefits</t>
        </is>
      </c>
      <c r="E11" s="3" t="n"/>
      <c r="F11" s="20" t="n"/>
      <c r="G11" s="21" t="n"/>
      <c r="H11" s="21" t="n"/>
      <c r="I11" s="21" t="n"/>
      <c r="J11" s="57" t="n"/>
      <c r="K11" s="57" t="n"/>
    </row>
    <row r="12" ht="19.5" customHeight="1" s="55">
      <c r="A12" s="3" t="n"/>
      <c r="B12" s="3" t="n"/>
      <c r="C12" s="22" t="inlineStr">
        <is>
          <t>Network Availability</t>
        </is>
      </c>
      <c r="E12" s="3" t="n"/>
      <c r="F12" s="23" t="inlineStr">
        <is>
          <t>POS</t>
        </is>
      </c>
      <c r="G12" s="24" t="n"/>
      <c r="H12" s="58" t="inlineStr">
        <is>
          <t>SSM Health / Healthlink OA III</t>
        </is>
      </c>
      <c r="I12" s="24" t="n"/>
      <c r="J12" s="57" t="n"/>
      <c r="K12" s="57" t="n"/>
    </row>
    <row r="13" ht="21.75" customHeight="1" s="55">
      <c r="A13" s="3" t="n"/>
      <c r="B13" s="3" t="n"/>
      <c r="C13" s="25" t="inlineStr">
        <is>
          <t>Deductible (Employee / Family)</t>
        </is>
      </c>
      <c r="E13" s="3" t="n"/>
      <c r="F13" s="26" t="inlineStr">
        <is>
          <t>$5,000 / $10,000</t>
        </is>
      </c>
      <c r="G13" s="59" t="inlineStr">
        <is>
          <t>$5,000 / $10,000</t>
        </is>
      </c>
      <c r="H13" s="59" t="inlineStr">
        <is>
          <t>$5,000 / $10,000</t>
        </is>
      </c>
      <c r="I13" s="59" t="inlineStr">
        <is>
          <t>5000 / 10000</t>
        </is>
      </c>
      <c r="J13" s="57" t="n"/>
      <c r="K13" s="57" t="n"/>
    </row>
    <row r="14" ht="21.75" customHeight="1" s="55">
      <c r="A14" s="3" t="n"/>
      <c r="B14" s="3" t="n"/>
      <c r="C14" s="22" t="inlineStr">
        <is>
          <t>Coinsurance (Member / Carrier)</t>
        </is>
      </c>
      <c r="E14" s="3" t="n"/>
      <c r="F14" s="23" t="inlineStr">
        <is>
          <t>80%</t>
        </is>
      </c>
      <c r="G14" s="58" t="inlineStr">
        <is>
          <t>20%</t>
        </is>
      </c>
      <c r="H14" s="58" t="inlineStr">
        <is>
          <t>0%</t>
        </is>
      </c>
      <c r="I14" s="58" t="inlineStr">
        <is>
          <t>20%</t>
        </is>
      </c>
      <c r="J14" s="57" t="n"/>
      <c r="K14" s="57" t="n"/>
    </row>
    <row r="15" ht="21.75" customHeight="1" s="55">
      <c r="A15" s="3" t="n"/>
      <c r="B15" s="3" t="n"/>
      <c r="C15" s="25" t="inlineStr">
        <is>
          <t>MOOP (Employee / Family)</t>
        </is>
      </c>
      <c r="E15" s="3" t="n"/>
      <c r="F15" s="26" t="inlineStr">
        <is>
          <t>$7,150 / $14,300</t>
        </is>
      </c>
      <c r="G15" s="59" t="inlineStr">
        <is>
          <t>$7,900 / $15,800</t>
        </is>
      </c>
      <c r="H15" s="59" t="inlineStr">
        <is>
          <t>$6,000 / $12,000</t>
        </is>
      </c>
      <c r="I15" s="59" t="inlineStr">
        <is>
          <t>8000 / 16000</t>
        </is>
      </c>
      <c r="J15" s="57" t="n"/>
      <c r="K15" s="57" t="n"/>
    </row>
    <row r="16" ht="21.75" customHeight="1" s="55">
      <c r="A16" s="3" t="n"/>
      <c r="B16" s="3" t="n"/>
      <c r="C16" s="22" t="inlineStr">
        <is>
          <t>PCP Copay</t>
        </is>
      </c>
      <c r="E16" s="3" t="n"/>
      <c r="F16" s="23" t="inlineStr">
        <is>
          <t>$15</t>
        </is>
      </c>
      <c r="G16" s="58" t="inlineStr">
        <is>
          <t>$30 copay</t>
        </is>
      </c>
      <c r="H16" s="58" t="inlineStr">
        <is>
          <t>$25 copay</t>
        </is>
      </c>
      <c r="I16" s="58" t="inlineStr">
        <is>
          <t>$0</t>
        </is>
      </c>
      <c r="J16" s="57" t="n"/>
      <c r="K16" s="57" t="n"/>
    </row>
    <row r="17" ht="21.75" customHeight="1" s="55">
      <c r="A17" s="3" t="n"/>
      <c r="B17" s="3" t="n"/>
      <c r="C17" s="25" t="inlineStr">
        <is>
          <t>Telehealth</t>
        </is>
      </c>
      <c r="E17" s="3" t="n"/>
      <c r="F17" s="26" t="n"/>
      <c r="G17" s="27" t="n"/>
      <c r="H17" s="27" t="n"/>
      <c r="I17" s="27" t="n"/>
      <c r="J17" s="57" t="n"/>
      <c r="K17" s="57" t="n"/>
    </row>
    <row r="18" ht="21.75" customHeight="1" s="55">
      <c r="A18" s="3" t="n"/>
      <c r="B18" s="3" t="n"/>
      <c r="C18" s="22" t="inlineStr">
        <is>
          <t>Specialist Copay</t>
        </is>
      </c>
      <c r="E18" s="3" t="n"/>
      <c r="F18" s="23" t="inlineStr">
        <is>
          <t>$50</t>
        </is>
      </c>
      <c r="G18" s="58" t="inlineStr">
        <is>
          <t>$50 copay</t>
        </is>
      </c>
      <c r="H18" s="58" t="inlineStr">
        <is>
          <t>$50 copay</t>
        </is>
      </c>
      <c r="I18" s="58" t="inlineStr">
        <is>
          <t>$55</t>
        </is>
      </c>
      <c r="J18" s="57" t="n"/>
      <c r="K18" s="57" t="n"/>
    </row>
    <row r="19" ht="21.75" customHeight="1" s="55">
      <c r="A19" s="3" t="n"/>
      <c r="B19" s="3" t="n"/>
      <c r="C19" s="25" t="inlineStr">
        <is>
          <t>Inpatient Hospitalization</t>
        </is>
      </c>
      <c r="E19" s="3" t="n"/>
      <c r="F19" s="26" t="inlineStr">
        <is>
          <t>D&amp;C</t>
        </is>
      </c>
      <c r="G19" s="59" t="inlineStr">
        <is>
          <t>20% coinsurance after deductible</t>
        </is>
      </c>
      <c r="H19" s="59" t="inlineStr">
        <is>
          <t>0% after deductible</t>
        </is>
      </c>
      <c r="I19" s="59" t="inlineStr">
        <is>
          <t>20%</t>
        </is>
      </c>
      <c r="J19" s="57" t="n"/>
      <c r="K19" s="57" t="n"/>
    </row>
    <row r="20" ht="21.75" customHeight="1" s="55">
      <c r="A20" s="3" t="n"/>
      <c r="B20" s="3" t="n"/>
      <c r="C20" s="22" t="inlineStr">
        <is>
          <t>Outpatient Facility</t>
        </is>
      </c>
      <c r="E20" s="3" t="n"/>
      <c r="F20" s="23" t="n"/>
      <c r="G20" s="24" t="n"/>
      <c r="H20" s="58" t="inlineStr">
        <is>
          <t>0% after deductible</t>
        </is>
      </c>
      <c r="I20" s="58" t="inlineStr">
        <is>
          <t>20%</t>
        </is>
      </c>
      <c r="J20" s="57" t="n"/>
      <c r="K20" s="57" t="n"/>
    </row>
    <row r="21" ht="21.75" customHeight="1" s="55">
      <c r="A21" s="3" t="n"/>
      <c r="B21" s="3" t="n"/>
      <c r="C21" s="25" t="inlineStr">
        <is>
          <t>Emergency Room</t>
        </is>
      </c>
      <c r="E21" s="3" t="n"/>
      <c r="F21" s="26" t="inlineStr">
        <is>
          <t>$100</t>
        </is>
      </c>
      <c r="G21" s="59" t="inlineStr">
        <is>
          <t>$500 copay</t>
        </is>
      </c>
      <c r="H21" s="59" t="inlineStr">
        <is>
          <t>$300 copay</t>
        </is>
      </c>
      <c r="I21" s="59" t="inlineStr">
        <is>
          <t>$500</t>
        </is>
      </c>
      <c r="J21" s="57" t="n"/>
      <c r="K21" s="57" t="n"/>
    </row>
    <row r="22" ht="21.75" customHeight="1" s="55">
      <c r="A22" s="3" t="n"/>
      <c r="B22" s="3" t="n"/>
      <c r="C22" s="22" t="inlineStr">
        <is>
          <t>Urgent Care</t>
        </is>
      </c>
      <c r="E22" s="3" t="n"/>
      <c r="F22" s="23" t="n"/>
      <c r="G22" s="58" t="inlineStr">
        <is>
          <t>$75 copay</t>
        </is>
      </c>
      <c r="H22" s="58" t="inlineStr">
        <is>
          <t>$25 copay</t>
        </is>
      </c>
      <c r="I22" s="58" t="inlineStr">
        <is>
          <t>$65</t>
        </is>
      </c>
      <c r="J22" s="57" t="n"/>
      <c r="K22" s="57" t="n"/>
    </row>
    <row r="23" ht="21.75" customHeight="1" s="55">
      <c r="A23" s="3" t="n"/>
      <c r="B23" s="3" t="n"/>
      <c r="C23" s="25" t="inlineStr">
        <is>
          <t>Laboratory</t>
        </is>
      </c>
      <c r="E23" s="3" t="n"/>
      <c r="F23" s="26" t="n"/>
      <c r="G23" s="59" t="inlineStr">
        <is>
          <t>20% coinsurance after deductible</t>
        </is>
      </c>
      <c r="H23" s="59" t="inlineStr">
        <is>
          <t>0% after deductible</t>
        </is>
      </c>
      <c r="I23" s="59" t="inlineStr">
        <is>
          <t>20%</t>
        </is>
      </c>
      <c r="J23" s="57" t="n"/>
      <c r="K23" s="57" t="n"/>
    </row>
    <row r="24" ht="21.75" customHeight="1" s="55">
      <c r="A24" s="3" t="n"/>
      <c r="B24" s="3" t="n"/>
      <c r="C24" s="22" t="inlineStr">
        <is>
          <t>X-Ray</t>
        </is>
      </c>
      <c r="E24" s="3" t="n"/>
      <c r="F24" s="23" t="n"/>
      <c r="G24" s="24" t="n"/>
      <c r="H24" s="24" t="n"/>
      <c r="I24" s="24" t="n"/>
      <c r="J24" s="57" t="n"/>
      <c r="K24" s="57" t="n"/>
    </row>
    <row r="25" ht="36" customHeight="1" s="55">
      <c r="A25" s="3" t="n"/>
      <c r="B25" s="3" t="n"/>
      <c r="C25" s="25" t="inlineStr">
        <is>
          <t>Imaging (CT, MRI, PET)</t>
        </is>
      </c>
      <c r="E25" s="3" t="n"/>
      <c r="F25" s="26" t="n"/>
      <c r="G25" s="27" t="n"/>
      <c r="H25" s="59" t="inlineStr">
        <is>
          <t>0% after deductible</t>
        </is>
      </c>
      <c r="I25" s="59" t="inlineStr">
        <is>
          <t>20%</t>
        </is>
      </c>
      <c r="J25" s="57" t="n"/>
      <c r="K25" s="57" t="n"/>
    </row>
    <row r="26" ht="15.75" customHeight="1" s="55">
      <c r="A26" s="3" t="n"/>
      <c r="B26" s="3" t="n"/>
      <c r="C26" s="19" t="inlineStr">
        <is>
          <t>Out-of-Network Coverage</t>
        </is>
      </c>
      <c r="E26" s="3" t="n"/>
      <c r="F26" s="20" t="n"/>
      <c r="G26" s="21" t="n"/>
      <c r="H26" s="21" t="n"/>
      <c r="I26" s="21" t="n"/>
      <c r="J26" s="57" t="n"/>
      <c r="K26" s="57" t="n"/>
    </row>
    <row r="27" ht="21.75" customHeight="1" s="55">
      <c r="A27" s="3" t="n"/>
      <c r="B27" s="3" t="n"/>
      <c r="C27" s="22" t="inlineStr">
        <is>
          <t>Deductible (Employee / Family)</t>
        </is>
      </c>
      <c r="E27" s="3" t="n"/>
      <c r="F27" s="23" t="inlineStr">
        <is>
          <t>$10,000</t>
        </is>
      </c>
      <c r="G27" s="24" t="n"/>
      <c r="H27" s="58" t="inlineStr">
        <is>
          <t>$12,000</t>
        </is>
      </c>
      <c r="I27" s="24" t="n"/>
      <c r="J27" s="57" t="n"/>
      <c r="K27" s="57" t="n"/>
    </row>
    <row r="28" ht="21.75" customHeight="1" s="55">
      <c r="A28" s="3" t="n"/>
      <c r="B28" s="3" t="n"/>
      <c r="C28" s="25" t="inlineStr">
        <is>
          <t>Cost Share (Member / Carrier)</t>
        </is>
      </c>
      <c r="E28" s="3" t="n"/>
      <c r="F28" s="26" t="n"/>
      <c r="G28" s="27" t="n"/>
      <c r="H28" s="27" t="n"/>
      <c r="I28" s="27" t="n"/>
      <c r="J28" s="57" t="n"/>
      <c r="K28" s="57" t="n"/>
    </row>
    <row r="29" ht="21.75" customHeight="1" s="55">
      <c r="A29" s="3" t="n"/>
      <c r="B29" s="3" t="n"/>
      <c r="C29" s="22" t="inlineStr">
        <is>
          <t>MOOP (Employee / Family)</t>
        </is>
      </c>
      <c r="E29" s="3" t="n"/>
      <c r="F29" s="23" t="inlineStr">
        <is>
          <t>$20,000</t>
        </is>
      </c>
      <c r="G29" s="24" t="n"/>
      <c r="H29" s="58" t="inlineStr">
        <is>
          <t>$24,000</t>
        </is>
      </c>
      <c r="I29" s="24" t="n"/>
      <c r="J29" s="57" t="n"/>
      <c r="K29" s="57" t="n"/>
    </row>
    <row r="30" ht="15.75" customHeight="1" s="55">
      <c r="A30" s="3" t="n"/>
      <c r="B30" s="3" t="n"/>
      <c r="C30" s="19" t="inlineStr">
        <is>
          <t>Prescription Drug Coverage</t>
        </is>
      </c>
      <c r="E30" s="3" t="n"/>
      <c r="F30" s="20" t="n"/>
      <c r="G30" s="21" t="n"/>
      <c r="H30" s="21" t="n"/>
      <c r="I30" s="21" t="n"/>
      <c r="J30" s="57" t="n"/>
      <c r="K30" s="57" t="n"/>
    </row>
    <row r="31" ht="21.75" customHeight="1" s="55">
      <c r="A31" s="3" t="n"/>
      <c r="B31" s="3" t="n"/>
      <c r="C31" s="22" t="inlineStr">
        <is>
          <t>Rx Deductible</t>
        </is>
      </c>
      <c r="E31" s="3" t="n"/>
      <c r="F31" s="23" t="n"/>
      <c r="G31" s="24" t="n"/>
      <c r="H31" s="24" t="n"/>
      <c r="I31" s="24" t="n"/>
      <c r="J31" s="57" t="n"/>
      <c r="K31" s="57" t="n"/>
    </row>
    <row r="32" ht="21.75" customHeight="1" s="55">
      <c r="A32" s="3" t="n"/>
      <c r="B32" s="3" t="n"/>
      <c r="C32" s="25" t="inlineStr">
        <is>
          <t>Generic / Preferred Brand / Non-Preferred / Specialty</t>
        </is>
      </c>
      <c r="E32" s="3" t="n"/>
      <c r="F32" s="26" t="n"/>
      <c r="G32" s="27" t="n"/>
      <c r="H32" s="27" t="n"/>
      <c r="I32" s="27" t="n"/>
      <c r="J32" s="57" t="n"/>
      <c r="K32" s="57" t="n"/>
    </row>
    <row r="33" ht="15.75" customHeight="1" s="55">
      <c r="A33" s="3" t="n"/>
      <c r="B33" s="3" t="n"/>
      <c r="C33" s="19" t="inlineStr">
        <is>
          <t>Financial — Monthly Rates</t>
        </is>
      </c>
      <c r="D33" s="28" t="inlineStr">
        <is>
          <t># Lives</t>
        </is>
      </c>
      <c r="E33" s="3" t="n"/>
      <c r="F33" s="20" t="n"/>
      <c r="G33" s="21" t="n"/>
      <c r="H33" s="21" t="n"/>
      <c r="I33" s="21" t="n"/>
      <c r="J33" s="57" t="n"/>
      <c r="K33" s="57" t="n"/>
    </row>
    <row r="34" ht="19.5" customHeight="1" s="55">
      <c r="A34" s="3" t="n"/>
      <c r="B34" s="3" t="n"/>
      <c r="C34" s="29" t="inlineStr">
        <is>
          <t>EE Only</t>
        </is>
      </c>
      <c r="D34" s="30" t="n">
        <v>12</v>
      </c>
      <c r="E34" s="3" t="n"/>
      <c r="F34" s="31" t="n">
        <v>945.17</v>
      </c>
      <c r="G34" s="31" t="n">
        <v>904.84</v>
      </c>
      <c r="H34" s="31" t="n">
        <v>898.83</v>
      </c>
      <c r="I34" s="31" t="n">
        <v>884.21</v>
      </c>
      <c r="J34" s="60" t="n"/>
      <c r="K34" s="60" t="n"/>
    </row>
    <row r="35" ht="19.5" customHeight="1" s="55">
      <c r="A35" s="3" t="n"/>
      <c r="B35" s="3" t="n"/>
      <c r="C35" s="33" t="inlineStr">
        <is>
          <t>Employee + Spouse</t>
        </is>
      </c>
      <c r="D35" s="34" t="n">
        <v>9</v>
      </c>
      <c r="E35" s="3" t="n"/>
      <c r="F35" s="35" t="n">
        <v>1984.85</v>
      </c>
      <c r="G35" s="35" t="n">
        <v>2027.62</v>
      </c>
      <c r="H35" s="35" t="n">
        <v>1822.3</v>
      </c>
      <c r="I35" s="35" t="n">
        <v>1905.95</v>
      </c>
      <c r="J35" s="60" t="n"/>
      <c r="K35" s="60" t="n"/>
    </row>
    <row r="36" ht="19.5" customHeight="1" s="55">
      <c r="A36" s="3" t="n"/>
      <c r="B36" s="3" t="n"/>
      <c r="C36" s="29" t="inlineStr">
        <is>
          <t>Employee + Child(ren)</t>
        </is>
      </c>
      <c r="D36" s="34" t="n">
        <v>8</v>
      </c>
      <c r="E36" s="3" t="n"/>
      <c r="F36" s="31" t="n">
        <v>1795.82</v>
      </c>
      <c r="G36" s="31" t="n">
        <v>1626.63</v>
      </c>
      <c r="H36" s="31" t="n">
        <v>1404.9</v>
      </c>
      <c r="I36" s="31" t="n">
        <v>1444.5</v>
      </c>
      <c r="J36" s="60" t="n"/>
      <c r="K36" s="60" t="n"/>
    </row>
    <row r="37" ht="19.5" customHeight="1" s="55">
      <c r="A37" s="3" t="n"/>
      <c r="B37" s="3" t="n"/>
      <c r="C37" s="33" t="inlineStr">
        <is>
          <t>Employee + Family</t>
        </is>
      </c>
      <c r="D37" s="34" t="n">
        <v>1</v>
      </c>
      <c r="E37" s="3" t="n"/>
      <c r="F37" s="35" t="n">
        <v>2937.59</v>
      </c>
      <c r="G37" s="35" t="n">
        <v>2909.82</v>
      </c>
      <c r="H37" s="35" t="n">
        <v>2328.38</v>
      </c>
      <c r="I37" s="35" t="n">
        <v>2479.74</v>
      </c>
      <c r="J37" s="60" t="n"/>
      <c r="K37" s="60" t="n"/>
    </row>
    <row r="38" ht="19.5" customHeight="1" s="55">
      <c r="A38" s="3" t="n"/>
      <c r="B38" s="3" t="n"/>
      <c r="C38" s="37" t="inlineStr">
        <is>
          <t>Rate Guarantee</t>
        </is>
      </c>
      <c r="E38" s="3" t="n"/>
      <c r="F38" s="23" t="inlineStr">
        <is>
          <t>Embedded deductible. Kid copay $0. D&amp;C/$300+Ded+20%/$25</t>
        </is>
      </c>
      <c r="G38" s="24" t="n"/>
      <c r="H38" s="24" t="n"/>
      <c r="I38" s="24" t="n"/>
      <c r="J38" s="57" t="n"/>
      <c r="K38" s="57" t="n"/>
    </row>
    <row r="39" ht="54.75" customHeight="1" s="55">
      <c r="A39" s="3" t="n"/>
      <c r="B39" s="3" t="n"/>
      <c r="C39" s="19" t="inlineStr">
        <is>
          <t>Carrier Comments</t>
        </is>
      </c>
      <c r="E39" s="3" t="n"/>
      <c r="F39" s="38" t="n"/>
      <c r="G39" s="39" t="n"/>
      <c r="H39" s="39" t="n"/>
      <c r="I39" s="61" t="n"/>
      <c r="J39" s="39" t="n"/>
    </row>
    <row r="40" ht="6" customHeight="1" s="55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 ht="27.75" customHeight="1" s="55">
      <c r="A41" s="3" t="n"/>
      <c r="B41" s="3" t="n"/>
      <c r="C41" s="41" t="inlineStr">
        <is>
          <t>C O S T   A N A L Y S I S</t>
        </is>
      </c>
    </row>
    <row r="42" ht="6" customHeight="1" s="55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 ht="19.5" customHeight="1" s="55">
      <c r="A43" s="3" t="n"/>
      <c r="B43" s="3" t="n"/>
      <c r="C43" s="42" t="inlineStr">
        <is>
          <t>Monthly Premium</t>
        </is>
      </c>
      <c r="E43" s="3" t="n"/>
      <c r="F43" s="43">
        <f>(F34*$D$34)+(F35*$D$35)+(F36*$D$36)+(F37*$D$37)</f>
        <v/>
      </c>
      <c r="G43" s="43">
        <f>(G34*$D$34)+(G35*$D$35)+(G36*$D$36)+(G37*$D$37)</f>
        <v/>
      </c>
      <c r="H43" s="43">
        <f>(H34*$D$34)+(H35*$D$35)+(H36*$D$36)+(H37*$D$37)</f>
        <v/>
      </c>
      <c r="I43" s="43">
        <f>(I34*D34)+(I35*D35)+(I36*D36)+(I37*D37)</f>
        <v/>
      </c>
      <c r="J43" s="43">
        <f>(J34*$D$34)+(J35*$D$35)+(J36*$D$36)+(J37*$D$37)</f>
        <v/>
      </c>
      <c r="K43" s="43">
        <f>(K34*D34)+(K35*D35)+(K36*D36)+(K37*D37)</f>
        <v/>
      </c>
    </row>
    <row r="44" ht="19.5" customHeight="1" s="55">
      <c r="A44" s="3" t="n"/>
      <c r="B44" s="3" t="n"/>
      <c r="C44" s="46" t="inlineStr">
        <is>
          <t>Annual Premium</t>
        </is>
      </c>
      <c r="E44" s="3" t="n"/>
      <c r="F44" s="45">
        <f>F43*12</f>
        <v/>
      </c>
      <c r="G44" s="45">
        <f>G43*12</f>
        <v/>
      </c>
      <c r="H44" s="45">
        <f>H43*12</f>
        <v/>
      </c>
      <c r="I44" s="45">
        <f>I43*12</f>
        <v/>
      </c>
      <c r="J44" s="45">
        <f>J43*12</f>
        <v/>
      </c>
      <c r="K44" s="45">
        <f>K43*12</f>
        <v/>
      </c>
    </row>
    <row r="45" ht="19.5" customHeight="1" s="55">
      <c r="A45" s="3" t="n"/>
      <c r="B45" s="3" t="n"/>
      <c r="C45" s="46" t="inlineStr">
        <is>
          <t>Annual Change vs Renewal</t>
        </is>
      </c>
      <c r="E45" s="3" t="n"/>
      <c r="F45" s="47" t="n"/>
      <c r="G45" s="45">
        <f>G44-$F44</f>
        <v/>
      </c>
      <c r="H45" s="45">
        <f>H44-$F44</f>
        <v/>
      </c>
      <c r="I45" s="45">
        <f>I44-$F44</f>
        <v/>
      </c>
      <c r="J45" s="45">
        <f>J44-$F44</f>
        <v/>
      </c>
      <c r="K45" s="45">
        <f>K44-$F44</f>
        <v/>
      </c>
    </row>
    <row r="46" ht="19.5" customHeight="1" s="55">
      <c r="A46" s="3" t="n"/>
      <c r="B46" s="3" t="n"/>
      <c r="C46" s="42" t="inlineStr">
        <is>
          <t>% Change from Current</t>
        </is>
      </c>
      <c r="E46" s="3" t="n"/>
      <c r="F46" s="48" t="n"/>
      <c r="G46" s="49">
        <f>(G44-$F44)/G44</f>
        <v/>
      </c>
      <c r="H46" s="49">
        <f>(H44-$F44)/H44</f>
        <v/>
      </c>
      <c r="I46" s="49">
        <f>(I44-$F44)/I44</f>
        <v/>
      </c>
      <c r="J46" s="49">
        <f>(J44-$F44)/J44</f>
        <v/>
      </c>
      <c r="K46" s="49">
        <f>(K44-$F44)/K44</f>
        <v/>
      </c>
    </row>
    <row r="47" ht="6" customHeight="1" s="55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 ht="13.5" customHeight="1" s="55">
      <c r="A48" s="3" t="n"/>
      <c r="B48" s="3" t="n"/>
      <c r="C48" s="50" t="inlineStr">
        <is>
          <t>This summary is for illustrative purposes only and is not a binding quote.</t>
        </is>
      </c>
    </row>
    <row r="49" ht="13.5" customHeight="1" s="55">
      <c r="A49" s="3" t="n"/>
      <c r="B49" s="3" t="n"/>
      <c r="C49" s="50" t="inlineStr">
        <is>
          <t>Please refer to each carrier's proposal for full plan details and coverage terms.</t>
        </is>
      </c>
    </row>
    <row r="50" ht="13.5" customHeight="1" s="55">
      <c r="A50" s="3" t="n"/>
      <c r="B50" s="3" t="n"/>
      <c r="C50" s="51" t="inlineStr">
        <is>
          <t>Prepared by BrokersBloc | brokersbloc.com</t>
        </is>
      </c>
    </row>
    <row r="51" ht="6" customHeight="1" s="55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 ht="19.5" customHeight="1" s="55">
      <c r="A52" s="3" t="n"/>
      <c r="B52" s="3" t="n"/>
      <c r="C52" s="42" t="inlineStr">
        <is>
          <t>Commissions</t>
        </is>
      </c>
      <c r="E52" s="3" t="n"/>
      <c r="F52" s="52" t="n"/>
      <c r="G52" s="53" t="n"/>
      <c r="H52" s="53" t="n"/>
      <c r="I52" s="61" t="n"/>
      <c r="J52" s="53" t="n"/>
    </row>
    <row r="53" ht="15.75" customHeight="1" s="55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 ht="15.75" customHeight="1" s="55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 ht="15.75" customHeight="1" s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 ht="15.75" customHeight="1" s="55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 ht="15.75" customHeight="1" s="55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 ht="15.75" customHeight="1" s="55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 ht="15.75" customHeight="1" s="55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 ht="15.75" customHeight="1" s="55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 ht="15.75" customHeight="1" s="55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 ht="15.75" customHeight="1" s="55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 ht="15.75" customHeight="1" s="55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 ht="15.75" customHeight="1" s="55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 ht="15.75" customHeight="1" s="5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 ht="15.75" customHeight="1" s="55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 ht="15.75" customHeight="1" s="55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 ht="15.75" customHeight="1" s="55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 ht="15.75" customHeight="1" s="55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 ht="15.75" customHeight="1" s="55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 ht="15.75" customHeight="1" s="55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 ht="15.75" customHeight="1" s="55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 ht="15.75" customHeight="1" s="55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 ht="15.75" customHeight="1" s="55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 ht="15.75" customHeight="1" s="5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 ht="15.75" customHeight="1" s="55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 ht="15.75" customHeight="1" s="55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 ht="15.75" customHeight="1" s="55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 ht="15.75" customHeight="1" s="55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 ht="15.75" customHeight="1" s="55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 ht="15.75" customHeight="1" s="55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 ht="15.75" customHeight="1" s="55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 ht="15.75" customHeight="1" s="55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 ht="15.75" customHeight="1" s="55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 ht="15.75" customHeight="1" s="5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 ht="15.75" customHeight="1" s="55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 ht="15.75" customHeight="1" s="55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 ht="15.75" customHeight="1" s="55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 ht="15.75" customHeight="1" s="55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 ht="15.75" customHeight="1" s="55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 ht="15.75" customHeight="1" s="55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 ht="15.75" customHeight="1" s="55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 ht="15.75" customHeight="1" s="55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 ht="15.75" customHeight="1" s="55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 ht="15.75" customHeight="1" s="5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 ht="15.75" customHeight="1" s="55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 ht="15.75" customHeight="1" s="55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 ht="15.75" customHeight="1" s="55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 ht="15.75" customHeight="1" s="55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 ht="15.75" customHeight="1" s="55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 ht="15.75" customHeight="1" s="55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 ht="15.75" customHeight="1" s="55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 ht="15.75" customHeight="1" s="55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 ht="15.75" customHeight="1" s="55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 ht="15.75" customHeight="1" s="5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 ht="15.75" customHeight="1" s="55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 ht="15.75" customHeight="1" s="55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 ht="15.75" customHeight="1" s="55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 ht="15.75" customHeight="1" s="55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 ht="15.75" customHeight="1" s="55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 ht="15.75" customHeight="1" s="55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 ht="15.75" customHeight="1" s="55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 ht="15.75" customHeight="1" s="55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 ht="15.75" customHeight="1" s="55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 ht="15.75" customHeight="1" s="5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 ht="15.75" customHeight="1" s="55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 ht="15.75" customHeight="1" s="55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 ht="15.75" customHeight="1" s="55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 ht="15.75" customHeight="1" s="55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 ht="15.75" customHeight="1" s="55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 ht="15.75" customHeight="1" s="55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 ht="15.75" customHeight="1" s="55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 ht="15.75" customHeight="1" s="55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 ht="15.75" customHeight="1" s="55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 ht="15.75" customHeight="1" s="5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 ht="15.75" customHeight="1" s="55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 ht="15.75" customHeight="1" s="55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 ht="15.75" customHeight="1" s="55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 ht="15.75" customHeight="1" s="55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 ht="15.75" customHeight="1" s="55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 ht="15.75" customHeight="1" s="55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 ht="15.75" customHeight="1" s="55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 ht="15.75" customHeight="1" s="55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 ht="15.75" customHeight="1" s="55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 ht="15.75" customHeight="1" s="5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 ht="15.75" customHeight="1" s="55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 ht="15.75" customHeight="1" s="55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 ht="15.75" customHeight="1" s="55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 ht="15.75" customHeight="1" s="55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 ht="15.75" customHeight="1" s="55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 ht="15.75" customHeight="1" s="55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 ht="15.75" customHeight="1" s="55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 ht="15.75" customHeight="1" s="55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 ht="15.75" customHeight="1" s="55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 ht="15.75" customHeight="1" s="5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 ht="15.75" customHeight="1" s="55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 ht="15.75" customHeight="1" s="55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 ht="15.75" customHeight="1" s="55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 ht="15.75" customHeight="1" s="55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 ht="15.75" customHeight="1" s="55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 ht="15.75" customHeight="1" s="55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 ht="15.75" customHeight="1" s="55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 ht="15.75" customHeight="1" s="55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 ht="15.75" customHeight="1" s="55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 ht="15.75" customHeight="1" s="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 ht="15.75" customHeight="1" s="55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 ht="15.75" customHeight="1" s="55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 ht="15.75" customHeight="1" s="55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 ht="15.75" customHeight="1" s="55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 ht="15.75" customHeight="1" s="55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 ht="15.75" customHeight="1" s="55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 ht="15.75" customHeight="1" s="55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 ht="15.75" customHeight="1" s="55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 ht="15.75" customHeight="1" s="55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 ht="15.75" customHeight="1" s="5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 ht="15.75" customHeight="1" s="55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 ht="15.75" customHeight="1" s="55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 ht="15.75" customHeight="1" s="55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 ht="15.75" customHeight="1" s="55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 ht="15.75" customHeight="1" s="55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 ht="15.75" customHeight="1" s="55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 ht="15.75" customHeight="1" s="55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 ht="15.75" customHeight="1" s="55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 ht="15.75" customHeight="1" s="55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 ht="15.75" customHeight="1" s="5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 ht="15.75" customHeight="1" s="55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 ht="15.75" customHeight="1" s="55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 ht="15.75" customHeight="1" s="55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 ht="15.75" customHeight="1" s="55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 ht="15.75" customHeight="1" s="55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 ht="15.75" customHeight="1" s="55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 ht="15.75" customHeight="1" s="55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 ht="15.75" customHeight="1" s="55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 ht="15.75" customHeight="1" s="55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 ht="15.75" customHeight="1" s="5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 ht="15.75" customHeight="1" s="55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 ht="15.75" customHeight="1" s="55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 ht="15.75" customHeight="1" s="55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 ht="15.75" customHeight="1" s="55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 ht="15.75" customHeight="1" s="55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 ht="15.75" customHeight="1" s="55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 ht="15.75" customHeight="1" s="55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 ht="15.75" customHeight="1" s="55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 ht="15.75" customHeight="1" s="55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 ht="15.75" customHeight="1" s="5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 ht="15.75" customHeight="1" s="55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 ht="15.75" customHeight="1" s="55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 ht="15.75" customHeight="1" s="55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 ht="15.75" customHeight="1" s="55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 ht="15.75" customHeight="1" s="55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 ht="15.75" customHeight="1" s="55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 ht="15.75" customHeight="1" s="55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 ht="15.75" customHeight="1" s="55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 ht="15.75" customHeight="1" s="55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 ht="15.75" customHeight="1" s="5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 ht="15.75" customHeight="1" s="55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 ht="15.75" customHeight="1" s="55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 ht="15.75" customHeight="1" s="55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 ht="15.75" customHeight="1" s="55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 ht="15.75" customHeight="1" s="55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 ht="15.75" customHeight="1" s="55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 ht="15.75" customHeight="1" s="55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 ht="15.75" customHeight="1" s="55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 ht="15.75" customHeight="1" s="55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 ht="15.75" customHeight="1" s="5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 ht="15.75" customHeight="1" s="55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 ht="15.75" customHeight="1" s="55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 ht="15.75" customHeight="1" s="55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 ht="15.75" customHeight="1" s="55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 ht="15.75" customHeight="1" s="55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 ht="15.75" customHeight="1" s="55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 ht="15.75" customHeight="1" s="55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 ht="15.75" customHeight="1" s="55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 ht="15.75" customHeight="1" s="55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 ht="15.75" customHeight="1" s="5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 ht="15.75" customHeight="1" s="55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 ht="15.75" customHeight="1" s="55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 ht="15.75" customHeight="1" s="55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 ht="15.75" customHeight="1" s="55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 ht="15.75" customHeight="1" s="55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 ht="15.75" customHeight="1" s="55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 ht="15.75" customHeight="1" s="55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 ht="15.75" customHeight="1" s="55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 ht="15.75" customHeight="1" s="55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 ht="15.75" customHeight="1" s="5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 ht="15.75" customHeight="1" s="55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 ht="15.75" customHeight="1" s="55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 ht="15.75" customHeight="1" s="55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 ht="15.75" customHeight="1" s="55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 ht="15.75" customHeight="1" s="55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 ht="15.75" customHeight="1" s="55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 ht="15.75" customHeight="1" s="55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 ht="15.75" customHeight="1" s="55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 ht="15.75" customHeight="1" s="55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 ht="15.75" customHeight="1" s="5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 ht="15.75" customHeight="1" s="55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 ht="15.75" customHeight="1" s="55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 ht="15.75" customHeight="1" s="55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 ht="15.75" customHeight="1" s="55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 ht="15.75" customHeight="1" s="55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 ht="15.75" customHeight="1" s="55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 ht="15.75" customHeight="1" s="55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 ht="15.75" customHeight="1" s="55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</row>
    <row r="254" ht="15.75" customHeight="1" s="55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</row>
    <row r="255" ht="15.75" customHeight="1" s="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</row>
    <row r="256" ht="15.75" customHeight="1" s="55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</row>
    <row r="257" ht="15.75" customHeight="1" s="55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</row>
    <row r="258" ht="15.75" customHeight="1" s="55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</row>
    <row r="259" ht="15.75" customHeight="1" s="55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</row>
    <row r="260" ht="15.75" customHeight="1" s="55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</row>
    <row r="261" ht="15.75" customHeight="1" s="55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</row>
    <row r="262" ht="15.75" customHeight="1" s="55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</row>
    <row r="263" ht="15.75" customHeight="1" s="55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</row>
    <row r="264" ht="15.75" customHeight="1" s="55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</row>
    <row r="265" ht="15.75" customHeight="1" s="5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</row>
    <row r="266" ht="15.75" customHeight="1" s="55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</row>
    <row r="267" ht="15.75" customHeight="1" s="55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</row>
    <row r="268" ht="15.75" customHeight="1" s="55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</row>
    <row r="269" ht="15.75" customHeight="1" s="55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</row>
    <row r="270" ht="15.75" customHeight="1" s="55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</row>
    <row r="271" ht="15.75" customHeight="1" s="55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</row>
    <row r="272" ht="15.75" customHeight="1" s="55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</row>
    <row r="273" ht="15.75" customHeight="1" s="55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</row>
    <row r="274" ht="15.75" customHeight="1" s="55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</row>
    <row r="275" ht="15.75" customHeight="1" s="5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</row>
    <row r="276" ht="15.75" customHeight="1" s="55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</row>
    <row r="277" ht="15.75" customHeight="1" s="55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</row>
    <row r="278" ht="15.75" customHeight="1" s="55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</row>
    <row r="279" ht="15.75" customHeight="1" s="55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</row>
    <row r="280" ht="15.75" customHeight="1" s="55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</row>
    <row r="281" ht="15.75" customHeight="1" s="55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</row>
    <row r="282" ht="15.75" customHeight="1" s="55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</row>
    <row r="283" ht="15.75" customHeight="1" s="55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</row>
    <row r="284" ht="15.75" customHeight="1" s="55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</row>
    <row r="285" ht="15.75" customHeight="1" s="5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</row>
    <row r="286" ht="15.75" customHeight="1" s="55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</row>
    <row r="287" ht="15.75" customHeight="1" s="55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</row>
    <row r="288" ht="15.75" customHeight="1" s="55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</row>
    <row r="289" ht="15.75" customHeight="1" s="55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</row>
    <row r="290" ht="15.75" customHeight="1" s="55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</row>
    <row r="291" ht="15.75" customHeight="1" s="55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</row>
    <row r="292" ht="15.75" customHeight="1" s="55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</row>
    <row r="293" ht="15.75" customHeight="1" s="55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</row>
    <row r="294" ht="15.75" customHeight="1" s="55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</row>
    <row r="295" ht="15.75" customHeight="1" s="5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</row>
    <row r="296" ht="15.75" customHeight="1" s="55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</row>
    <row r="297" ht="15.75" customHeight="1" s="55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</row>
    <row r="298" ht="15.75" customHeight="1" s="55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</row>
    <row r="299" ht="15.75" customHeight="1" s="55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</row>
    <row r="300" ht="15.75" customHeight="1" s="55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</row>
    <row r="301" ht="15.75" customHeight="1" s="55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</row>
    <row r="302" ht="15.75" customHeight="1" s="55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</row>
    <row r="303" ht="15.75" customHeight="1" s="55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</row>
    <row r="304" ht="15.75" customHeight="1" s="55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</row>
    <row r="305" ht="15.75" customHeight="1" s="5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</row>
    <row r="306" ht="15.75" customHeight="1" s="55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</row>
    <row r="307" ht="15.75" customHeight="1" s="55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</row>
    <row r="308" ht="15.75" customHeight="1" s="55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</row>
    <row r="309" ht="15.75" customHeight="1" s="55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</row>
    <row r="310" ht="15.75" customHeight="1" s="55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</row>
    <row r="311" ht="15.75" customHeight="1" s="55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</row>
    <row r="312" ht="15.75" customHeight="1" s="55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</row>
    <row r="313" ht="15.75" customHeight="1" s="55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</row>
    <row r="314" ht="15.75" customHeight="1" s="55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</row>
    <row r="315" ht="15.75" customHeight="1" s="5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</row>
    <row r="316" ht="15.75" customHeight="1" s="55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</row>
    <row r="317" ht="15.75" customHeight="1" s="55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</row>
    <row r="318" ht="15.75" customHeight="1" s="55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</row>
    <row r="319" ht="15.75" customHeight="1" s="55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</row>
    <row r="320" ht="15.75" customHeight="1" s="55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</row>
    <row r="321" ht="15.75" customHeight="1" s="55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</row>
    <row r="322" ht="15.75" customHeight="1" s="55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</row>
    <row r="323" ht="15.75" customHeight="1" s="55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</row>
    <row r="324" ht="15.75" customHeight="1" s="55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</row>
    <row r="325" ht="15.75" customHeight="1" s="5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</row>
    <row r="326" ht="15.75" customHeight="1" s="55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</row>
    <row r="327" ht="15.75" customHeight="1" s="55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</row>
    <row r="328" ht="15.75" customHeight="1" s="55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</row>
    <row r="329" ht="15.75" customHeight="1" s="55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</row>
    <row r="330" ht="15.75" customHeight="1" s="55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</row>
    <row r="331" ht="15.75" customHeight="1" s="55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</row>
    <row r="332" ht="15.75" customHeight="1" s="55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</row>
    <row r="333" ht="15.75" customHeight="1" s="55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</row>
    <row r="334" ht="15.75" customHeight="1" s="55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</row>
    <row r="335" ht="15.75" customHeight="1" s="5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</row>
    <row r="336" ht="15.75" customHeight="1" s="55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</row>
    <row r="337" ht="15.75" customHeight="1" s="55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</row>
    <row r="338" ht="15.75" customHeight="1" s="55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</row>
    <row r="339" ht="15.75" customHeight="1" s="55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</row>
    <row r="340" ht="15.75" customHeight="1" s="55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</row>
    <row r="341" ht="15.75" customHeight="1" s="55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</row>
    <row r="342" ht="15.75" customHeight="1" s="55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</row>
    <row r="343" ht="15.75" customHeight="1" s="55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</row>
    <row r="344" ht="15.75" customHeight="1" s="55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</row>
    <row r="345" ht="15.75" customHeight="1" s="5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</row>
    <row r="346" ht="15.75" customHeight="1" s="55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</row>
    <row r="347" ht="15.75" customHeight="1" s="55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</row>
    <row r="348" ht="15.75" customHeight="1" s="55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</row>
    <row r="349" ht="15.75" customHeight="1" s="55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</row>
    <row r="350" ht="15.75" customHeight="1" s="55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</row>
    <row r="351" ht="15.75" customHeight="1" s="55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</row>
    <row r="352" ht="15.75" customHeight="1" s="55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</row>
    <row r="353" ht="15.75" customHeight="1" s="55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</row>
    <row r="354" ht="15.75" customHeight="1" s="55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</row>
    <row r="355" ht="15.75" customHeight="1" s="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</row>
    <row r="356" ht="15.75" customHeight="1" s="55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</row>
    <row r="357" ht="15.75" customHeight="1" s="55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</row>
    <row r="358" ht="15.75" customHeight="1" s="55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</row>
    <row r="359" ht="15.75" customHeight="1" s="55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</row>
    <row r="360" ht="15.75" customHeight="1" s="55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</row>
    <row r="361" ht="15.75" customHeight="1" s="55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</row>
    <row r="362" ht="15.75" customHeight="1" s="55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</row>
    <row r="363" ht="15.75" customHeight="1" s="55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</row>
    <row r="364" ht="15.75" customHeight="1" s="55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</row>
    <row r="365" ht="15.75" customHeight="1" s="5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</row>
    <row r="366" ht="15.75" customHeight="1" s="55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</row>
    <row r="367" ht="15.75" customHeight="1" s="55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</row>
    <row r="368" ht="15.75" customHeight="1" s="55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</row>
    <row r="369" ht="15.75" customHeight="1" s="55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</row>
    <row r="370" ht="15.75" customHeight="1" s="55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</row>
    <row r="371" ht="15.75" customHeight="1" s="55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</row>
    <row r="372" ht="15.75" customHeight="1" s="55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</row>
    <row r="373" ht="15.75" customHeight="1" s="55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</row>
    <row r="374" ht="15.75" customHeight="1" s="55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</row>
    <row r="375" ht="15.75" customHeight="1" s="5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</row>
    <row r="376" ht="15.75" customHeight="1" s="55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</row>
    <row r="377" ht="15.75" customHeight="1" s="55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</row>
    <row r="378" ht="15.75" customHeight="1" s="55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</row>
    <row r="379" ht="15.75" customHeight="1" s="55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</row>
    <row r="380" ht="15.75" customHeight="1" s="55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</row>
    <row r="381" ht="15.75" customHeight="1" s="55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</row>
    <row r="382" ht="15.75" customHeight="1" s="55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</row>
    <row r="383" ht="15.75" customHeight="1" s="55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</row>
    <row r="384" ht="15.75" customHeight="1" s="55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</row>
    <row r="385" ht="15.75" customHeight="1" s="5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</row>
    <row r="386" ht="15.75" customHeight="1" s="55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</row>
    <row r="387" ht="15.75" customHeight="1" s="55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</row>
    <row r="388" ht="15.75" customHeight="1" s="55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</row>
    <row r="389" ht="15.75" customHeight="1" s="55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</row>
    <row r="390" ht="15.75" customHeight="1" s="55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</row>
    <row r="391" ht="15.75" customHeight="1" s="55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</row>
    <row r="392" ht="15.75" customHeight="1" s="55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</row>
    <row r="393" ht="15.75" customHeight="1" s="55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</row>
    <row r="394" ht="15.75" customHeight="1" s="55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</row>
    <row r="395" ht="15.75" customHeight="1" s="5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</row>
    <row r="396" ht="15.75" customHeight="1" s="55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</row>
    <row r="397" ht="15.75" customHeight="1" s="55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</row>
    <row r="398" ht="15.75" customHeight="1" s="55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</row>
    <row r="399" ht="15.75" customHeight="1" s="55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</row>
    <row r="400" ht="15.75" customHeight="1" s="55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</row>
    <row r="401" ht="15.75" customHeight="1" s="55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</row>
    <row r="402" ht="15.75" customHeight="1" s="55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</row>
    <row r="403" ht="15.75" customHeight="1" s="55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</row>
    <row r="404" ht="15.75" customHeight="1" s="55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</row>
    <row r="405" ht="15.75" customHeight="1" s="5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</row>
    <row r="406" ht="15.75" customHeight="1" s="55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</row>
    <row r="407" ht="15.75" customHeight="1" s="55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</row>
    <row r="408" ht="15.75" customHeight="1" s="55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</row>
    <row r="409" ht="15.75" customHeight="1" s="55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</row>
    <row r="410" ht="15.75" customHeight="1" s="55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</row>
    <row r="411" ht="15.75" customHeight="1" s="55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</row>
    <row r="412" ht="15.75" customHeight="1" s="55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</row>
    <row r="413" ht="15.75" customHeight="1" s="55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</row>
    <row r="414" ht="15.75" customHeight="1" s="55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</row>
    <row r="415" ht="15.75" customHeight="1" s="5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</row>
    <row r="416" ht="15.75" customHeight="1" s="55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</row>
    <row r="417" ht="15.75" customHeight="1" s="55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</row>
    <row r="418" ht="15.75" customHeight="1" s="55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</row>
    <row r="419" ht="15.75" customHeight="1" s="55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</row>
    <row r="420" ht="15.75" customHeight="1" s="55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</row>
    <row r="421" ht="15.75" customHeight="1" s="55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</row>
    <row r="422" ht="15.75" customHeight="1" s="55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</row>
    <row r="423" ht="15.75" customHeight="1" s="55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</row>
    <row r="424" ht="15.75" customHeight="1" s="55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</row>
    <row r="425" ht="15.75" customHeight="1" s="5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</row>
    <row r="426" ht="15.75" customHeight="1" s="55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</row>
    <row r="427" ht="15.75" customHeight="1" s="55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</row>
    <row r="428" ht="15.75" customHeight="1" s="55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</row>
    <row r="429" ht="15.75" customHeight="1" s="55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</row>
    <row r="430" ht="15.75" customHeight="1" s="55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</row>
    <row r="431" ht="15.75" customHeight="1" s="55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</row>
    <row r="432" ht="15.75" customHeight="1" s="55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</row>
    <row r="433" ht="15.75" customHeight="1" s="55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</row>
    <row r="434" ht="15.75" customHeight="1" s="55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</row>
    <row r="435" ht="15.75" customHeight="1" s="5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</row>
    <row r="436" ht="15.75" customHeight="1" s="55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</row>
    <row r="437" ht="15.75" customHeight="1" s="55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</row>
    <row r="438" ht="15.75" customHeight="1" s="55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</row>
    <row r="439" ht="15.75" customHeight="1" s="55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</row>
    <row r="440" ht="15.75" customHeight="1" s="55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</row>
    <row r="441" ht="15.75" customHeight="1" s="55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</row>
    <row r="442" ht="15.75" customHeight="1" s="55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</row>
    <row r="443" ht="15.75" customHeight="1" s="55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</row>
    <row r="444" ht="15.75" customHeight="1" s="55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</row>
    <row r="445" ht="15.75" customHeight="1" s="5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</row>
    <row r="446" ht="15.75" customHeight="1" s="55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</row>
    <row r="447" ht="15.75" customHeight="1" s="55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</row>
    <row r="448" ht="15.75" customHeight="1" s="55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</row>
    <row r="449" ht="15.75" customHeight="1" s="55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</row>
    <row r="450" ht="15.75" customHeight="1" s="55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</row>
    <row r="451" ht="15.75" customHeight="1" s="55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</row>
    <row r="452" ht="15.75" customHeight="1" s="55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</row>
    <row r="453" ht="15.75" customHeight="1" s="55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</row>
    <row r="454" ht="15.75" customHeight="1" s="55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</row>
    <row r="455" ht="15.75" customHeight="1" s="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</row>
    <row r="456" ht="15.75" customHeight="1" s="55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</row>
    <row r="457" ht="15.75" customHeight="1" s="55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</row>
    <row r="458" ht="15.75" customHeight="1" s="55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</row>
    <row r="459" ht="15.75" customHeight="1" s="55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</row>
    <row r="460" ht="15.75" customHeight="1" s="55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</row>
    <row r="461" ht="15.75" customHeight="1" s="55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</row>
    <row r="462" ht="15.75" customHeight="1" s="55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</row>
    <row r="463" ht="15.75" customHeight="1" s="55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</row>
    <row r="464" ht="15.75" customHeight="1" s="55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</row>
    <row r="465" ht="15.75" customHeight="1" s="5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</row>
    <row r="466" ht="15.75" customHeight="1" s="55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</row>
    <row r="467" ht="15.75" customHeight="1" s="55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</row>
    <row r="468" ht="15.75" customHeight="1" s="55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</row>
    <row r="469" ht="15.75" customHeight="1" s="55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</row>
    <row r="470" ht="15.75" customHeight="1" s="55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</row>
    <row r="471" ht="15.75" customHeight="1" s="55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</row>
    <row r="472" ht="15.75" customHeight="1" s="55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</row>
    <row r="473" ht="15.75" customHeight="1" s="55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</row>
    <row r="474" ht="15.75" customHeight="1" s="55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</row>
    <row r="475" ht="15.75" customHeight="1" s="5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</row>
    <row r="476" ht="15.75" customHeight="1" s="55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</row>
    <row r="477" ht="15.75" customHeight="1" s="55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</row>
    <row r="478" ht="15.75" customHeight="1" s="55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</row>
    <row r="479" ht="15.75" customHeight="1" s="55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</row>
    <row r="480" ht="15.75" customHeight="1" s="55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</row>
    <row r="481" ht="15.75" customHeight="1" s="55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</row>
    <row r="482" ht="15.75" customHeight="1" s="55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</row>
    <row r="483" ht="15.75" customHeight="1" s="55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</row>
    <row r="484" ht="15.75" customHeight="1" s="55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</row>
    <row r="485" ht="15.75" customHeight="1" s="5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</row>
    <row r="486" ht="15.75" customHeight="1" s="55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</row>
    <row r="487" ht="15.75" customHeight="1" s="55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</row>
    <row r="488" ht="15.75" customHeight="1" s="55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</row>
    <row r="489" ht="15.75" customHeight="1" s="55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</row>
    <row r="490" ht="15.75" customHeight="1" s="55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</row>
    <row r="491" ht="15.75" customHeight="1" s="55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</row>
    <row r="492" ht="15.75" customHeight="1" s="55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</row>
    <row r="493" ht="15.75" customHeight="1" s="55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</row>
    <row r="494" ht="15.75" customHeight="1" s="55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</row>
    <row r="495" ht="15.75" customHeight="1" s="5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</row>
    <row r="496" ht="15.75" customHeight="1" s="55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</row>
    <row r="497" ht="15.75" customHeight="1" s="55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</row>
    <row r="498" ht="15.75" customHeight="1" s="55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</row>
    <row r="499" ht="15.75" customHeight="1" s="55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</row>
    <row r="500" ht="15.75" customHeight="1" s="55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</row>
    <row r="501" ht="15.75" customHeight="1" s="55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</row>
    <row r="502" ht="15.75" customHeight="1" s="55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</row>
    <row r="503" ht="15.75" customHeight="1" s="55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</row>
    <row r="504" ht="15.75" customHeight="1" s="55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</row>
    <row r="505" ht="15.75" customHeight="1" s="5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</row>
    <row r="506" ht="15.75" customHeight="1" s="55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</row>
    <row r="507" ht="15.75" customHeight="1" s="55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</row>
    <row r="508" ht="15.75" customHeight="1" s="55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</row>
    <row r="509" ht="15.75" customHeight="1" s="55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</row>
    <row r="510" ht="15.75" customHeight="1" s="55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</row>
    <row r="511" ht="15.75" customHeight="1" s="55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</row>
    <row r="512" ht="15.75" customHeight="1" s="55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</row>
    <row r="513" ht="15.75" customHeight="1" s="55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</row>
    <row r="514" ht="15.75" customHeight="1" s="55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</row>
    <row r="515" ht="15.75" customHeight="1" s="5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</row>
    <row r="516" ht="15.75" customHeight="1" s="55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</row>
    <row r="517" ht="15.75" customHeight="1" s="55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</row>
    <row r="518" ht="15.75" customHeight="1" s="55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</row>
    <row r="519" ht="15.75" customHeight="1" s="55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</row>
    <row r="520" ht="15.75" customHeight="1" s="55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</row>
    <row r="521" ht="15.75" customHeight="1" s="55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</row>
    <row r="522" ht="15.75" customHeight="1" s="55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</row>
    <row r="523" ht="15.75" customHeight="1" s="55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</row>
    <row r="524" ht="15.75" customHeight="1" s="55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</row>
    <row r="525" ht="15.75" customHeight="1" s="5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</row>
    <row r="526" ht="15.75" customHeight="1" s="55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</row>
    <row r="527" ht="15.75" customHeight="1" s="55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</row>
    <row r="528" ht="15.75" customHeight="1" s="55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</row>
    <row r="529" ht="15.75" customHeight="1" s="55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</row>
    <row r="530" ht="15.75" customHeight="1" s="55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</row>
    <row r="531" ht="15.75" customHeight="1" s="55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</row>
    <row r="532" ht="15.75" customHeight="1" s="55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</row>
    <row r="533" ht="15.75" customHeight="1" s="55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</row>
    <row r="534" ht="15.75" customHeight="1" s="55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</row>
    <row r="535" ht="15.75" customHeight="1" s="5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</row>
    <row r="536" ht="15.75" customHeight="1" s="55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</row>
    <row r="537" ht="15.75" customHeight="1" s="55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</row>
    <row r="538" ht="15.75" customHeight="1" s="55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</row>
    <row r="539" ht="15.75" customHeight="1" s="55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</row>
    <row r="540" ht="15.75" customHeight="1" s="55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</row>
    <row r="541" ht="15.75" customHeight="1" s="55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</row>
    <row r="542" ht="15.75" customHeight="1" s="55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</row>
    <row r="543" ht="15.75" customHeight="1" s="55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</row>
    <row r="544" ht="15.75" customHeight="1" s="55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</row>
    <row r="545" ht="15.75" customHeight="1" s="5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</row>
    <row r="546" ht="15.75" customHeight="1" s="55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</row>
    <row r="547" ht="15.75" customHeight="1" s="55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</row>
    <row r="548" ht="15.75" customHeight="1" s="55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</row>
    <row r="549" ht="15.75" customHeight="1" s="55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</row>
    <row r="550" ht="15.75" customHeight="1" s="55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</row>
    <row r="551" ht="15.75" customHeight="1" s="55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</row>
    <row r="552" ht="15.75" customHeight="1" s="55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</row>
    <row r="553" ht="15.75" customHeight="1" s="55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</row>
    <row r="554" ht="15.75" customHeight="1" s="55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</row>
    <row r="555" ht="15.75" customHeight="1" s="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</row>
    <row r="556" ht="15.75" customHeight="1" s="55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</row>
    <row r="557" ht="15.75" customHeight="1" s="55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</row>
    <row r="558" ht="15.75" customHeight="1" s="55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</row>
    <row r="559" ht="15.75" customHeight="1" s="55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</row>
    <row r="560" ht="15.75" customHeight="1" s="55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</row>
    <row r="561" ht="15.75" customHeight="1" s="55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</row>
    <row r="562" ht="15.75" customHeight="1" s="55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</row>
    <row r="563" ht="15.75" customHeight="1" s="55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</row>
    <row r="564" ht="15.75" customHeight="1" s="55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</row>
    <row r="565" ht="15.75" customHeight="1" s="5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</row>
    <row r="566" ht="15.75" customHeight="1" s="55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</row>
    <row r="567" ht="15.75" customHeight="1" s="55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</row>
    <row r="568" ht="15.75" customHeight="1" s="55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</row>
    <row r="569" ht="15.75" customHeight="1" s="55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</row>
    <row r="570" ht="15.75" customHeight="1" s="55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</row>
    <row r="571" ht="15.75" customHeight="1" s="55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</row>
    <row r="572" ht="15.75" customHeight="1" s="55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</row>
    <row r="573" ht="15.75" customHeight="1" s="55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</row>
    <row r="574" ht="15.75" customHeight="1" s="55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</row>
    <row r="575" ht="15.75" customHeight="1" s="5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</row>
    <row r="576" ht="15.75" customHeight="1" s="55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</row>
    <row r="577" ht="15.75" customHeight="1" s="55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</row>
    <row r="578" ht="15.75" customHeight="1" s="55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</row>
    <row r="579" ht="15.75" customHeight="1" s="55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</row>
    <row r="580" ht="15.75" customHeight="1" s="55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</row>
    <row r="581" ht="15.75" customHeight="1" s="55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</row>
    <row r="582" ht="15.75" customHeight="1" s="55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</row>
    <row r="583" ht="15.75" customHeight="1" s="55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</row>
    <row r="584" ht="15.75" customHeight="1" s="55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</row>
    <row r="585" ht="15.75" customHeight="1" s="5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</row>
    <row r="586" ht="15.75" customHeight="1" s="55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</row>
    <row r="587" ht="15.75" customHeight="1" s="55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</row>
    <row r="588" ht="15.75" customHeight="1" s="55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</row>
    <row r="589" ht="15.75" customHeight="1" s="55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</row>
    <row r="590" ht="15.75" customHeight="1" s="55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</row>
    <row r="591" ht="15.75" customHeight="1" s="55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</row>
    <row r="592" ht="15.75" customHeight="1" s="55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</row>
    <row r="593" ht="15.75" customHeight="1" s="55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</row>
    <row r="594" ht="15.75" customHeight="1" s="55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</row>
    <row r="595" ht="15.75" customHeight="1" s="5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</row>
    <row r="596" ht="15.75" customHeight="1" s="55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</row>
    <row r="597" ht="15.75" customHeight="1" s="55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</row>
    <row r="598" ht="15.75" customHeight="1" s="55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</row>
    <row r="599" ht="15.75" customHeight="1" s="55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</row>
    <row r="600" ht="15.75" customHeight="1" s="55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</row>
    <row r="601" ht="15.75" customHeight="1" s="55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</row>
    <row r="602" ht="15.75" customHeight="1" s="55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</row>
    <row r="603" ht="15.75" customHeight="1" s="55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</row>
    <row r="604" ht="15.75" customHeight="1" s="55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</row>
    <row r="605" ht="15.75" customHeight="1" s="5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</row>
    <row r="606" ht="15.75" customHeight="1" s="55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</row>
    <row r="607" ht="15.75" customHeight="1" s="55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</row>
    <row r="608" ht="15.75" customHeight="1" s="55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</row>
    <row r="609" ht="15.75" customHeight="1" s="55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</row>
    <row r="610" ht="15.75" customHeight="1" s="55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</row>
    <row r="611" ht="15.75" customHeight="1" s="55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</row>
    <row r="612" ht="15.75" customHeight="1" s="55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</row>
    <row r="613" ht="15.75" customHeight="1" s="55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</row>
    <row r="614" ht="15.75" customHeight="1" s="55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</row>
    <row r="615" ht="15.75" customHeight="1" s="5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</row>
    <row r="616" ht="15.75" customHeight="1" s="55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</row>
    <row r="617" ht="15.75" customHeight="1" s="55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</row>
    <row r="618" ht="15.75" customHeight="1" s="55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</row>
    <row r="619" ht="15.75" customHeight="1" s="55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</row>
    <row r="620" ht="15.75" customHeight="1" s="55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</row>
    <row r="621" ht="15.75" customHeight="1" s="55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</row>
    <row r="622" ht="15.75" customHeight="1" s="55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</row>
    <row r="623" ht="15.75" customHeight="1" s="55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</row>
    <row r="624" ht="15.75" customHeight="1" s="55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</row>
    <row r="625" ht="15.75" customHeight="1" s="5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</row>
    <row r="626" ht="15.75" customHeight="1" s="55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</row>
    <row r="627" ht="15.75" customHeight="1" s="55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</row>
    <row r="628" ht="15.75" customHeight="1" s="55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</row>
    <row r="629" ht="15.75" customHeight="1" s="55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</row>
    <row r="630" ht="15.75" customHeight="1" s="55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</row>
    <row r="631" ht="15.75" customHeight="1" s="55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</row>
    <row r="632" ht="15.75" customHeight="1" s="55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</row>
    <row r="633" ht="15.75" customHeight="1" s="55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</row>
    <row r="634" ht="15.75" customHeight="1" s="55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</row>
    <row r="635" ht="15.75" customHeight="1" s="5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</row>
    <row r="636" ht="15.75" customHeight="1" s="55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</row>
    <row r="637" ht="15.75" customHeight="1" s="55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</row>
    <row r="638" ht="15.75" customHeight="1" s="55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</row>
    <row r="639" ht="15.75" customHeight="1" s="55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</row>
    <row r="640" ht="15.75" customHeight="1" s="55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</row>
    <row r="641" ht="15.75" customHeight="1" s="55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</row>
    <row r="642" ht="15.75" customHeight="1" s="55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</row>
    <row r="643" ht="15.75" customHeight="1" s="55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</row>
    <row r="644" ht="15.75" customHeight="1" s="55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</row>
    <row r="645" ht="15.75" customHeight="1" s="5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</row>
    <row r="646" ht="15.75" customHeight="1" s="55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</row>
    <row r="647" ht="15.75" customHeight="1" s="55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</row>
    <row r="648" ht="15.75" customHeight="1" s="55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</row>
    <row r="649" ht="15.75" customHeight="1" s="55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</row>
    <row r="650" ht="15.75" customHeight="1" s="55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</row>
    <row r="651" ht="15.75" customHeight="1" s="55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</row>
    <row r="652" ht="15.75" customHeight="1" s="55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</row>
    <row r="653" ht="15.75" customHeight="1" s="55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</row>
    <row r="654" ht="15.75" customHeight="1" s="55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</row>
    <row r="655" ht="15.75" customHeight="1" s="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</row>
    <row r="656" ht="15.75" customHeight="1" s="55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</row>
    <row r="657" ht="15.75" customHeight="1" s="55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</row>
    <row r="658" ht="15.75" customHeight="1" s="55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</row>
    <row r="659" ht="15.75" customHeight="1" s="55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</row>
    <row r="660" ht="15.75" customHeight="1" s="55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</row>
    <row r="661" ht="15.75" customHeight="1" s="55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</row>
    <row r="662" ht="15.75" customHeight="1" s="55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</row>
    <row r="663" ht="15.75" customHeight="1" s="55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</row>
    <row r="664" ht="15.75" customHeight="1" s="55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</row>
    <row r="665" ht="15.75" customHeight="1" s="5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</row>
    <row r="666" ht="15.75" customHeight="1" s="55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</row>
    <row r="667" ht="15.75" customHeight="1" s="55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</row>
    <row r="668" ht="15.75" customHeight="1" s="55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</row>
    <row r="669" ht="15.75" customHeight="1" s="55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</row>
    <row r="670" ht="15.75" customHeight="1" s="55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</row>
    <row r="671" ht="15.75" customHeight="1" s="55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</row>
    <row r="672" ht="15.75" customHeight="1" s="55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</row>
    <row r="673" ht="15.75" customHeight="1" s="55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</row>
    <row r="674" ht="15.75" customHeight="1" s="55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</row>
    <row r="675" ht="15.75" customHeight="1" s="5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</row>
    <row r="676" ht="15.75" customHeight="1" s="55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</row>
    <row r="677" ht="15.75" customHeight="1" s="55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</row>
    <row r="678" ht="15.75" customHeight="1" s="55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</row>
    <row r="679" ht="15.75" customHeight="1" s="55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</row>
    <row r="680" ht="15.75" customHeight="1" s="55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</row>
    <row r="681" ht="15.75" customHeight="1" s="55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</row>
    <row r="682" ht="15.75" customHeight="1" s="55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</row>
    <row r="683" ht="15.75" customHeight="1" s="55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</row>
    <row r="684" ht="15.75" customHeight="1" s="55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</row>
    <row r="685" ht="15.75" customHeight="1" s="5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</row>
    <row r="686" ht="15.75" customHeight="1" s="55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</row>
    <row r="687" ht="15.75" customHeight="1" s="55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</row>
    <row r="688" ht="15.75" customHeight="1" s="55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</row>
    <row r="689" ht="15.75" customHeight="1" s="55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</row>
    <row r="690" ht="15.75" customHeight="1" s="55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</row>
    <row r="691" ht="15.75" customHeight="1" s="55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</row>
    <row r="692" ht="15.75" customHeight="1" s="55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</row>
    <row r="693" ht="15.75" customHeight="1" s="55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</row>
    <row r="694" ht="15.75" customHeight="1" s="55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</row>
    <row r="695" ht="15.75" customHeight="1" s="5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</row>
    <row r="696" ht="15.75" customHeight="1" s="55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</row>
    <row r="697" ht="15.75" customHeight="1" s="55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</row>
    <row r="698" ht="15.75" customHeight="1" s="55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</row>
    <row r="699" ht="15.75" customHeight="1" s="55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</row>
    <row r="700" ht="15.75" customHeight="1" s="55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</row>
    <row r="701" ht="15.75" customHeight="1" s="55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</row>
    <row r="702" ht="15.75" customHeight="1" s="55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</row>
    <row r="703" ht="15.75" customHeight="1" s="55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</row>
    <row r="704" ht="15.75" customHeight="1" s="55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</row>
    <row r="705" ht="15.75" customHeight="1" s="5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</row>
    <row r="706" ht="15.75" customHeight="1" s="55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</row>
    <row r="707" ht="15.75" customHeight="1" s="55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</row>
    <row r="708" ht="15.75" customHeight="1" s="55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</row>
    <row r="709" ht="15.75" customHeight="1" s="55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</row>
    <row r="710" ht="15.75" customHeight="1" s="55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</row>
    <row r="711" ht="15.75" customHeight="1" s="55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</row>
    <row r="712" ht="15.75" customHeight="1" s="55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</row>
    <row r="713" ht="15.75" customHeight="1" s="55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</row>
    <row r="714" ht="15.75" customHeight="1" s="55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</row>
    <row r="715" ht="15.75" customHeight="1" s="5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</row>
    <row r="716" ht="15.75" customHeight="1" s="55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</row>
    <row r="717" ht="15.75" customHeight="1" s="55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</row>
    <row r="718" ht="15.75" customHeight="1" s="55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</row>
    <row r="719" ht="15.75" customHeight="1" s="55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</row>
    <row r="720" ht="15.75" customHeight="1" s="55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</row>
    <row r="721" ht="15.75" customHeight="1" s="55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</row>
    <row r="722" ht="15.75" customHeight="1" s="55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</row>
    <row r="723" ht="15.75" customHeight="1" s="55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</row>
    <row r="724" ht="15.75" customHeight="1" s="55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</row>
    <row r="725" ht="15.75" customHeight="1" s="5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</row>
    <row r="726" ht="15.75" customHeight="1" s="55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</row>
    <row r="727" ht="15.75" customHeight="1" s="55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</row>
    <row r="728" ht="15.75" customHeight="1" s="55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</row>
    <row r="729" ht="15.75" customHeight="1" s="55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</row>
    <row r="730" ht="15.75" customHeight="1" s="55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</row>
    <row r="731" ht="15.75" customHeight="1" s="55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</row>
    <row r="732" ht="15.75" customHeight="1" s="55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</row>
    <row r="733" ht="15.75" customHeight="1" s="55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</row>
    <row r="734" ht="15.75" customHeight="1" s="55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</row>
    <row r="735" ht="15.75" customHeight="1" s="5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</row>
    <row r="736" ht="15.75" customHeight="1" s="55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</row>
    <row r="737" ht="15.75" customHeight="1" s="55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</row>
    <row r="738" ht="15.75" customHeight="1" s="55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</row>
    <row r="739" ht="15.75" customHeight="1" s="55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</row>
    <row r="740" ht="15.75" customHeight="1" s="55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</row>
    <row r="741" ht="15.75" customHeight="1" s="55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</row>
    <row r="742" ht="15.75" customHeight="1" s="55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</row>
    <row r="743" ht="15.75" customHeight="1" s="55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</row>
    <row r="744" ht="15.75" customHeight="1" s="55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</row>
    <row r="745" ht="15.75" customHeight="1" s="5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</row>
    <row r="746" ht="15.75" customHeight="1" s="55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</row>
    <row r="747" ht="15.75" customHeight="1" s="55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</row>
    <row r="748" ht="15.75" customHeight="1" s="55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</row>
    <row r="749" ht="15.75" customHeight="1" s="55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</row>
    <row r="750" ht="15.75" customHeight="1" s="55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</row>
    <row r="751" ht="15.75" customHeight="1" s="55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</row>
    <row r="752" ht="15.75" customHeight="1" s="55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</row>
    <row r="753" ht="15.75" customHeight="1" s="55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</row>
    <row r="754" ht="15.75" customHeight="1" s="55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</row>
    <row r="755" ht="15.75" customHeight="1" s="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</row>
    <row r="756" ht="15.75" customHeight="1" s="55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</row>
    <row r="757" ht="15.75" customHeight="1" s="55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</row>
    <row r="758" ht="15.75" customHeight="1" s="55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</row>
    <row r="759" ht="15.75" customHeight="1" s="55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</row>
    <row r="760" ht="15.75" customHeight="1" s="55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</row>
    <row r="761" ht="15.75" customHeight="1" s="55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</row>
    <row r="762" ht="15.75" customHeight="1" s="55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</row>
    <row r="763" ht="15.75" customHeight="1" s="55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</row>
    <row r="764" ht="15.75" customHeight="1" s="55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</row>
    <row r="765" ht="15.75" customHeight="1" s="5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</row>
    <row r="766" ht="15.75" customHeight="1" s="55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</row>
    <row r="767" ht="15.75" customHeight="1" s="55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</row>
    <row r="768" ht="15.75" customHeight="1" s="55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</row>
    <row r="769" ht="15.75" customHeight="1" s="55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</row>
    <row r="770" ht="15.75" customHeight="1" s="55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</row>
    <row r="771" ht="15.75" customHeight="1" s="55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</row>
    <row r="772" ht="15.75" customHeight="1" s="55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</row>
    <row r="773" ht="15.75" customHeight="1" s="55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</row>
    <row r="774" ht="15.75" customHeight="1" s="55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</row>
    <row r="775" ht="15.75" customHeight="1" s="5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</row>
    <row r="776" ht="15.75" customHeight="1" s="55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</row>
    <row r="777" ht="15.75" customHeight="1" s="55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</row>
    <row r="778" ht="15.75" customHeight="1" s="55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</row>
    <row r="779" ht="15.75" customHeight="1" s="55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</row>
    <row r="780" ht="15.75" customHeight="1" s="55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</row>
    <row r="781" ht="15.75" customHeight="1" s="55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</row>
    <row r="782" ht="15.75" customHeight="1" s="55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</row>
    <row r="783" ht="15.75" customHeight="1" s="55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</row>
    <row r="784" ht="15.75" customHeight="1" s="55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</row>
    <row r="785" ht="15.75" customHeight="1" s="5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</row>
    <row r="786" ht="15.75" customHeight="1" s="55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</row>
    <row r="787" ht="15.75" customHeight="1" s="55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</row>
    <row r="788" ht="15.75" customHeight="1" s="55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</row>
    <row r="789" ht="15.75" customHeight="1" s="55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</row>
    <row r="790" ht="15.75" customHeight="1" s="55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</row>
    <row r="791" ht="15.75" customHeight="1" s="55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</row>
    <row r="792" ht="15.75" customHeight="1" s="55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</row>
    <row r="793" ht="15.75" customHeight="1" s="55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</row>
    <row r="794" ht="15.75" customHeight="1" s="55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</row>
    <row r="795" ht="15.75" customHeight="1" s="5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</row>
    <row r="796" ht="15.75" customHeight="1" s="55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</row>
    <row r="797" ht="15.75" customHeight="1" s="55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</row>
    <row r="798" ht="15.75" customHeight="1" s="55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</row>
    <row r="799" ht="15.75" customHeight="1" s="55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</row>
    <row r="800" ht="15.75" customHeight="1" s="55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</row>
    <row r="801" ht="15.75" customHeight="1" s="55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</row>
    <row r="802" ht="15.75" customHeight="1" s="55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</row>
    <row r="803" ht="15.75" customHeight="1" s="55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</row>
    <row r="804" ht="15.75" customHeight="1" s="55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</row>
    <row r="805" ht="15.75" customHeight="1" s="5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</row>
    <row r="806" ht="15.75" customHeight="1" s="55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</row>
    <row r="807" ht="15.75" customHeight="1" s="55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</row>
    <row r="808" ht="15.75" customHeight="1" s="55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</row>
    <row r="809" ht="15.75" customHeight="1" s="55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</row>
    <row r="810" ht="15.75" customHeight="1" s="55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</row>
    <row r="811" ht="15.75" customHeight="1" s="55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</row>
    <row r="812" ht="15.75" customHeight="1" s="55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</row>
    <row r="813" ht="15.75" customHeight="1" s="55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</row>
    <row r="814" ht="15.75" customHeight="1" s="55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</row>
    <row r="815" ht="15.75" customHeight="1" s="5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</row>
    <row r="816" ht="15.75" customHeight="1" s="55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</row>
    <row r="817" ht="15.75" customHeight="1" s="55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</row>
    <row r="818" ht="15.75" customHeight="1" s="55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</row>
    <row r="819" ht="15.75" customHeight="1" s="55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</row>
    <row r="820" ht="15.75" customHeight="1" s="55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</row>
    <row r="821" ht="15.75" customHeight="1" s="55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</row>
    <row r="822" ht="15.75" customHeight="1" s="55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</row>
    <row r="823" ht="15.75" customHeight="1" s="55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</row>
    <row r="824" ht="15.75" customHeight="1" s="55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</row>
    <row r="825" ht="15.75" customHeight="1" s="5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</row>
    <row r="826" ht="15.75" customHeight="1" s="55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</row>
    <row r="827" ht="15.75" customHeight="1" s="55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</row>
    <row r="828" ht="15.75" customHeight="1" s="55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</row>
    <row r="829" ht="15.75" customHeight="1" s="55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</row>
    <row r="830" ht="15.75" customHeight="1" s="55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</row>
    <row r="831" ht="15.75" customHeight="1" s="55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</row>
    <row r="832" ht="15.75" customHeight="1" s="55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</row>
    <row r="833" ht="15.75" customHeight="1" s="55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</row>
    <row r="834" ht="15.75" customHeight="1" s="55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</row>
    <row r="835" ht="15.75" customHeight="1" s="5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</row>
    <row r="836" ht="15.75" customHeight="1" s="55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</row>
    <row r="837" ht="15.75" customHeight="1" s="55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</row>
    <row r="838" ht="15.75" customHeight="1" s="55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</row>
    <row r="839" ht="15.75" customHeight="1" s="55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</row>
    <row r="840" ht="15.75" customHeight="1" s="55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</row>
    <row r="841" ht="15.75" customHeight="1" s="55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</row>
    <row r="842" ht="15.75" customHeight="1" s="55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</row>
    <row r="843" ht="15.75" customHeight="1" s="55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</row>
    <row r="844" ht="15.75" customHeight="1" s="55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</row>
    <row r="845" ht="15.75" customHeight="1" s="5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</row>
    <row r="846" ht="15.75" customHeight="1" s="55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</row>
    <row r="847" ht="15.75" customHeight="1" s="55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</row>
    <row r="848" ht="15.75" customHeight="1" s="55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</row>
    <row r="849" ht="15.75" customHeight="1" s="55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</row>
    <row r="850" ht="15.75" customHeight="1" s="55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</row>
    <row r="851" ht="15.75" customHeight="1" s="55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</row>
    <row r="852" ht="15.75" customHeight="1" s="55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</row>
    <row r="853" ht="15.75" customHeight="1" s="55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</row>
    <row r="854" ht="15.75" customHeight="1" s="55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</row>
    <row r="855" ht="15.75" customHeight="1" s="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</row>
    <row r="856" ht="15.75" customHeight="1" s="55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</row>
    <row r="857" ht="15.75" customHeight="1" s="55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</row>
    <row r="858" ht="15.75" customHeight="1" s="55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</row>
    <row r="859" ht="15.75" customHeight="1" s="55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</row>
    <row r="860" ht="15.75" customHeight="1" s="55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</row>
    <row r="861" ht="15.75" customHeight="1" s="55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</row>
    <row r="862" ht="15.75" customHeight="1" s="55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</row>
    <row r="863" ht="15.75" customHeight="1" s="55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</row>
    <row r="864" ht="15.75" customHeight="1" s="55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</row>
    <row r="865" ht="15.75" customHeight="1" s="5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</row>
    <row r="866" ht="15.75" customHeight="1" s="55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</row>
    <row r="867" ht="15.75" customHeight="1" s="55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</row>
    <row r="868" ht="15.75" customHeight="1" s="55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</row>
    <row r="869" ht="15.75" customHeight="1" s="55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</row>
    <row r="870" ht="15.75" customHeight="1" s="55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</row>
    <row r="871" ht="15.75" customHeight="1" s="55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</row>
    <row r="872" ht="15.75" customHeight="1" s="55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</row>
    <row r="873" ht="15.75" customHeight="1" s="55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</row>
    <row r="874" ht="15.75" customHeight="1" s="55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</row>
    <row r="875" ht="15.75" customHeight="1" s="5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</row>
    <row r="876" ht="15.75" customHeight="1" s="55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</row>
    <row r="877" ht="15.75" customHeight="1" s="55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</row>
    <row r="878" ht="15.75" customHeight="1" s="55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</row>
    <row r="879" ht="15.75" customHeight="1" s="55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</row>
    <row r="880" ht="15.75" customHeight="1" s="55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</row>
    <row r="881" ht="15.75" customHeight="1" s="55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</row>
    <row r="882" ht="15.75" customHeight="1" s="55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</row>
    <row r="883" ht="15.75" customHeight="1" s="55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</row>
    <row r="884" ht="15.75" customHeight="1" s="55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</row>
    <row r="885" ht="15.75" customHeight="1" s="5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</row>
    <row r="886" ht="15.75" customHeight="1" s="55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</row>
    <row r="887" ht="15.75" customHeight="1" s="55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</row>
    <row r="888" ht="15.75" customHeight="1" s="55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</row>
    <row r="889" ht="15.75" customHeight="1" s="55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</row>
    <row r="890" ht="15.75" customHeight="1" s="55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</row>
    <row r="891" ht="15.75" customHeight="1" s="55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</row>
    <row r="892" ht="15.75" customHeight="1" s="55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</row>
    <row r="893" ht="15.75" customHeight="1" s="55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</row>
    <row r="894" ht="15.75" customHeight="1" s="55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</row>
    <row r="895" ht="15.75" customHeight="1" s="5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</row>
    <row r="896" ht="15.75" customHeight="1" s="55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</row>
    <row r="897" ht="15.75" customHeight="1" s="55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</row>
    <row r="898" ht="15.75" customHeight="1" s="55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</row>
    <row r="899" ht="15.75" customHeight="1" s="55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</row>
    <row r="900" ht="15.75" customHeight="1" s="55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</row>
    <row r="901" ht="15.75" customHeight="1" s="55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</row>
    <row r="902" ht="15.75" customHeight="1" s="55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</row>
    <row r="903" ht="15.75" customHeight="1" s="55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</row>
    <row r="904" ht="15.75" customHeight="1" s="55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</row>
    <row r="905" ht="15.75" customHeight="1" s="5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</row>
    <row r="906" ht="15.75" customHeight="1" s="55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</row>
    <row r="907" ht="15.75" customHeight="1" s="55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</row>
    <row r="908" ht="15.75" customHeight="1" s="55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</row>
    <row r="909" ht="15.75" customHeight="1" s="55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</row>
    <row r="910" ht="15.75" customHeight="1" s="55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</row>
    <row r="911" ht="15.75" customHeight="1" s="55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</row>
    <row r="912" ht="15.75" customHeight="1" s="55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</row>
    <row r="913" ht="15.75" customHeight="1" s="55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</row>
    <row r="914" ht="15.75" customHeight="1" s="55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</row>
    <row r="915" ht="15.75" customHeight="1" s="5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</row>
    <row r="916" ht="15.75" customHeight="1" s="55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</row>
    <row r="917" ht="15.75" customHeight="1" s="55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</row>
    <row r="918" ht="15.75" customHeight="1" s="55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</row>
    <row r="919" ht="15.75" customHeight="1" s="55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</row>
    <row r="920" ht="15.75" customHeight="1" s="55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</row>
    <row r="921" ht="15.75" customHeight="1" s="55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</row>
    <row r="922" ht="15.75" customHeight="1" s="55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</row>
    <row r="923" ht="15.75" customHeight="1" s="55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</row>
    <row r="924" ht="15.75" customHeight="1" s="55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</row>
    <row r="925" ht="15.75" customHeight="1" s="5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</row>
    <row r="926" ht="15.75" customHeight="1" s="55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</row>
    <row r="927" ht="15.75" customHeight="1" s="55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</row>
    <row r="928" ht="15.75" customHeight="1" s="55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</row>
    <row r="929" ht="15.75" customHeight="1" s="55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</row>
    <row r="930" ht="15.75" customHeight="1" s="55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</row>
    <row r="931" ht="15.75" customHeight="1" s="55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</row>
    <row r="932" ht="15.75" customHeight="1" s="55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</row>
    <row r="933" ht="15.75" customHeight="1" s="55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</row>
    <row r="934" ht="15.75" customHeight="1" s="55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</row>
    <row r="935" ht="15.75" customHeight="1" s="5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</row>
    <row r="936" ht="15.75" customHeight="1" s="55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</row>
    <row r="937" ht="15.75" customHeight="1" s="55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</row>
    <row r="938" ht="15.75" customHeight="1" s="55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</row>
    <row r="939" ht="15.75" customHeight="1" s="55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</row>
    <row r="940" ht="15.75" customHeight="1" s="55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</row>
    <row r="941" ht="15.75" customHeight="1" s="55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</row>
    <row r="942" ht="15.75" customHeight="1" s="55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</row>
    <row r="943" ht="15.75" customHeight="1" s="55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</row>
    <row r="944" ht="15.75" customHeight="1" s="55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</row>
    <row r="945" ht="15.75" customHeight="1" s="5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</row>
    <row r="946" ht="15.75" customHeight="1" s="55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</row>
    <row r="947" ht="15.75" customHeight="1" s="55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</row>
    <row r="948" ht="15.75" customHeight="1" s="55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</row>
    <row r="949" ht="15.75" customHeight="1" s="55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</row>
    <row r="950" ht="15.75" customHeight="1" s="55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</row>
    <row r="951" ht="15.75" customHeight="1" s="55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</row>
    <row r="952" ht="15.75" customHeight="1" s="55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</row>
    <row r="953" ht="15.75" customHeight="1" s="55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</row>
    <row r="954" ht="15.75" customHeight="1" s="55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</row>
    <row r="955" ht="15.75" customHeight="1" s="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</row>
    <row r="956" ht="15.75" customHeight="1" s="55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</row>
    <row r="957" ht="15.75" customHeight="1" s="55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</row>
    <row r="958" ht="15.75" customHeight="1" s="55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</row>
    <row r="959" ht="15.75" customHeight="1" s="55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</row>
    <row r="960" ht="15.75" customHeight="1" s="55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</row>
    <row r="961" ht="15.75" customHeight="1" s="55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</row>
    <row r="962" ht="15.75" customHeight="1" s="55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</row>
    <row r="963" ht="15.75" customHeight="1" s="55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</row>
    <row r="964" ht="15.75" customHeight="1" s="55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</row>
    <row r="965" ht="15.75" customHeight="1" s="5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</row>
    <row r="966" ht="15.75" customHeight="1" s="55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</row>
    <row r="967" ht="15.75" customHeight="1" s="55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</row>
    <row r="968" ht="15.75" customHeight="1" s="55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</row>
    <row r="969" ht="15.75" customHeight="1" s="55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</row>
    <row r="970" ht="15.75" customHeight="1" s="55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</row>
    <row r="971" ht="15.75" customHeight="1" s="55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</row>
    <row r="972" ht="15.75" customHeight="1" s="55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</row>
    <row r="973" ht="15.75" customHeight="1" s="55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</row>
    <row r="974" ht="15.75" customHeight="1" s="55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</row>
    <row r="975" ht="15.75" customHeight="1" s="5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</row>
    <row r="976" ht="15.75" customHeight="1" s="55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</row>
    <row r="977" ht="15.75" customHeight="1" s="55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</row>
    <row r="978" ht="15.75" customHeight="1" s="55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</row>
    <row r="979" ht="15.75" customHeight="1" s="55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</row>
    <row r="980" ht="15.75" customHeight="1" s="55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</row>
    <row r="981" ht="15.75" customHeight="1" s="55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</row>
    <row r="982" ht="15.75" customHeight="1" s="55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</row>
    <row r="983" ht="15.75" customHeight="1" s="55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</row>
    <row r="984" ht="15.75" customHeight="1" s="55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</row>
    <row r="985" ht="15.75" customHeight="1" s="5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</row>
    <row r="986" ht="15.75" customHeight="1" s="55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</row>
    <row r="987" ht="15.75" customHeight="1" s="55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</row>
    <row r="988" ht="15.75" customHeight="1" s="55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</row>
    <row r="989" ht="15.75" customHeight="1" s="55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</row>
    <row r="990" ht="15.75" customHeight="1" s="55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</row>
    <row r="991" ht="15.75" customHeight="1" s="55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</row>
    <row r="992" ht="15.75" customHeight="1" s="55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</row>
    <row r="993" ht="15.75" customHeight="1" s="55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</row>
    <row r="994" ht="15.75" customHeight="1" s="55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</row>
    <row r="995" ht="15.75" customHeight="1" s="5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</row>
    <row r="996" ht="15.75" customHeight="1" s="55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</row>
    <row r="997" ht="15.75" customHeight="1" s="55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</row>
    <row r="998" ht="15.75" customHeight="1" s="55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</row>
    <row r="999" ht="15.75" customHeight="1" s="55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</row>
  </sheetData>
  <mergeCells count="41">
    <mergeCell ref="C30:D30"/>
    <mergeCell ref="C24:D24"/>
    <mergeCell ref="C41:K41"/>
    <mergeCell ref="C15:D15"/>
    <mergeCell ref="C50:K50"/>
    <mergeCell ref="C45:D45"/>
    <mergeCell ref="C5:G5"/>
    <mergeCell ref="C14:D14"/>
    <mergeCell ref="C26:D26"/>
    <mergeCell ref="A1:K1"/>
    <mergeCell ref="H5:K5"/>
    <mergeCell ref="C20:D20"/>
    <mergeCell ref="H39:I39"/>
    <mergeCell ref="C29:D29"/>
    <mergeCell ref="C16:D16"/>
    <mergeCell ref="C25:D25"/>
    <mergeCell ref="C44:D44"/>
    <mergeCell ref="C48:K48"/>
    <mergeCell ref="C22:D22"/>
    <mergeCell ref="C9:D9"/>
    <mergeCell ref="C31:D31"/>
    <mergeCell ref="H52:I52"/>
    <mergeCell ref="C7:K7"/>
    <mergeCell ref="C43:D43"/>
    <mergeCell ref="C12:D12"/>
    <mergeCell ref="C46:D46"/>
    <mergeCell ref="C21:D21"/>
    <mergeCell ref="C11:D11"/>
    <mergeCell ref="C27:D27"/>
    <mergeCell ref="C3:K3"/>
    <mergeCell ref="C52:D52"/>
    <mergeCell ref="C49:K49"/>
    <mergeCell ref="C17:D17"/>
    <mergeCell ref="C23:D23"/>
    <mergeCell ref="C39:D39"/>
    <mergeCell ref="C32:D32"/>
    <mergeCell ref="C38:D38"/>
    <mergeCell ref="C19:D19"/>
    <mergeCell ref="C28:D28"/>
    <mergeCell ref="C13:D13"/>
    <mergeCell ref="C18:D18"/>
  </mergeCell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2026-05-06T17:08:07Z</dcterms:created>
  <dcterms:modified xsi:type="dcterms:W3CDTF">2026-05-06T17:08:07Z</dcterms:modified>
</cp:coreProperties>
</file>